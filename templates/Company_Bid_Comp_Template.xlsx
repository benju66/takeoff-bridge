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endlerpatterson.sharepoint.com/sites/FPHUB/Shared Documents/Preconstruction/"/>
    </mc:Choice>
  </mc:AlternateContent>
  <xr:revisionPtr revIDLastSave="14" documentId="13_ncr:1_{3269B5DD-96FD-449F-B8CF-4A59E0A6F39F}" xr6:coauthVersionLast="47" xr6:coauthVersionMax="47" xr10:uidLastSave="{89EC15A5-996C-4484-A91E-CBED4C5D67E9}"/>
  <bookViews>
    <workbookView xWindow="28680" yWindow="-105" windowWidth="29040" windowHeight="15720" tabRatio="937" firstSheet="16" activeTab="12" xr2:uid="{CEFBEB1E-04E7-40B4-AF46-105658333F50}"/>
  </bookViews>
  <sheets>
    <sheet name="Project Info" sheetId="2" r:id="rId1"/>
    <sheet name="INDEX" sheetId="90" r:id="rId2"/>
    <sheet name="BLANK" sheetId="88" r:id="rId3"/>
    <sheet name="02-4100 Demolition" sheetId="91" r:id="rId4"/>
    <sheet name="02-9005 Final Clean" sheetId="87" r:id="rId5"/>
    <sheet name="02-9200 Survey" sheetId="86" r:id="rId6"/>
    <sheet name="03-3000 Concrete" sheetId="85" r:id="rId7"/>
    <sheet name="03-4100 Precast Concrete" sheetId="84" r:id="rId8"/>
    <sheet name="03-5413 Gypcrete" sheetId="83" r:id="rId9"/>
    <sheet name="04-0000 Masonry" sheetId="82" r:id="rId10"/>
    <sheet name="05-1200 Structural Steel" sheetId="81" r:id="rId11"/>
    <sheet name="05-7210 Alum Decks" sheetId="80" r:id="rId12"/>
    <sheet name="06-1000 Rough Carp" sheetId="79" r:id="rId13"/>
    <sheet name="06-2000 Finish Carp" sheetId="78" r:id="rId14"/>
    <sheet name="06-2200 Millwork" sheetId="77" r:id="rId15"/>
    <sheet name="06-4100 Arch Casework" sheetId="76" r:id="rId16"/>
    <sheet name="06-6113 Simulated Stone" sheetId="93" r:id="rId17"/>
    <sheet name="06-6116 Solid Surfaces" sheetId="75" r:id="rId18"/>
    <sheet name="06-8700 Pergolas" sheetId="74" r:id="rId19"/>
    <sheet name="07-1000 Waterproofing" sheetId="73" r:id="rId20"/>
    <sheet name="07-2100 Insulation" sheetId="72" r:id="rId21"/>
    <sheet name="07-2500 Weather Barrier" sheetId="71" r:id="rId22"/>
    <sheet name="07-3113 Asphalt Shingles" sheetId="70" r:id="rId23"/>
    <sheet name="07-4213 Metal Panel Siding" sheetId="69" r:id="rId24"/>
    <sheet name="07-4600 Siding" sheetId="68" r:id="rId25"/>
    <sheet name="07-5000 Membrane Roofing" sheetId="67" r:id="rId26"/>
    <sheet name="07-6200 Metal Flashing" sheetId="66" r:id="rId27"/>
    <sheet name="07-7600 Roof Pavers" sheetId="65" r:id="rId28"/>
    <sheet name="07-8100 Fire Proofing" sheetId="64" r:id="rId29"/>
    <sheet name="07-9200 Joint Sealants" sheetId="63" r:id="rId30"/>
    <sheet name="08-1000 Doors, Frames, HW" sheetId="62" r:id="rId31"/>
    <sheet name="08-3113 Access Panels" sheetId="61" r:id="rId32"/>
    <sheet name="08-3613 Overhead Doors" sheetId="60" r:id="rId33"/>
    <sheet name="08-4000 Alum Entr &amp; Storefronts" sheetId="59" r:id="rId34"/>
    <sheet name="08-5413 Windows &amp; Patio Doors" sheetId="58" r:id="rId35"/>
    <sheet name="08-8330 Mirrors" sheetId="57" r:id="rId36"/>
    <sheet name="09-2116 Gypsum Board Assemblies" sheetId="54" r:id="rId37"/>
    <sheet name="09-2216 Steel Studs" sheetId="56" r:id="rId38"/>
    <sheet name="09-3000 Tile" sheetId="53" r:id="rId39"/>
    <sheet name="09-5113 Acoustical Tile Ceiling" sheetId="52" r:id="rId40"/>
    <sheet name="09-6400 Wood Flooring" sheetId="51" r:id="rId41"/>
    <sheet name="09-6500 Resilient Flooring" sheetId="50" r:id="rId42"/>
    <sheet name="09-6600 Terrazzo Flooring" sheetId="49" r:id="rId43"/>
    <sheet name="09-6800 Carpeting" sheetId="48" r:id="rId44"/>
    <sheet name="09-9000 Painting and Coatings" sheetId="47" r:id="rId45"/>
    <sheet name="10-0000 Specialties" sheetId="89" r:id="rId46"/>
    <sheet name="10-1400 Signage" sheetId="46" r:id="rId47"/>
    <sheet name="10-2213 Wire Mesh Stor Cag" sheetId="45" r:id="rId48"/>
    <sheet name="10-2800 Toilet Accessories" sheetId="44" r:id="rId49"/>
    <sheet name="10-2819 Tub &amp; Shower Doors" sheetId="43" r:id="rId50"/>
    <sheet name="10-3100 Fireplaces" sheetId="42" r:id="rId51"/>
    <sheet name="10-3110 Fire Pits" sheetId="41" r:id="rId52"/>
    <sheet name="10-5500 Postal Specialties" sheetId="40" r:id="rId53"/>
    <sheet name="10-5623 Closet Shelving" sheetId="39" r:id="rId54"/>
    <sheet name="10-7313 Awnings &amp; Canopies" sheetId="38" r:id="rId55"/>
    <sheet name="10-9000 Golf Simulator" sheetId="37" r:id="rId56"/>
    <sheet name="11-2423 Window Washing Systems" sheetId="36" r:id="rId57"/>
    <sheet name="11-3100 Appliances" sheetId="35" r:id="rId58"/>
    <sheet name="11-6700 Recreational Equip" sheetId="34" r:id="rId59"/>
    <sheet name="11-8216 Trash Compactors" sheetId="33" r:id="rId60"/>
    <sheet name="12-2000 Window Treatments" sheetId="32" r:id="rId61"/>
    <sheet name="12-3530 Residential Casework" sheetId="31" r:id="rId62"/>
    <sheet name="12-3570 Hlthcare Casework &amp; FFE" sheetId="92" r:id="rId63"/>
    <sheet name="12-3640 Residential Countertops" sheetId="30" r:id="rId64"/>
    <sheet name="12-4813 Entrance Floor Mats" sheetId="29" r:id="rId65"/>
    <sheet name="12-9313 Bike Racks" sheetId="28" r:id="rId66"/>
    <sheet name="13-1100 Swimming Pools &amp; Spas" sheetId="27" r:id="rId67"/>
    <sheet name="13-1900 Pet Equipment" sheetId="26" r:id="rId68"/>
    <sheet name="13-2416 Saunas" sheetId="25" r:id="rId69"/>
    <sheet name="14-2000 Elevators" sheetId="24" r:id="rId70"/>
    <sheet name="14-9182 Trash Chute" sheetId="23" r:id="rId71"/>
    <sheet name="21-0000 Fire Suppression" sheetId="22" r:id="rId72"/>
    <sheet name="22-0000 Plumbing" sheetId="21" r:id="rId73"/>
    <sheet name="23-0000 HVAC" sheetId="20" r:id="rId74"/>
    <sheet name="26-0000 Electrical" sheetId="19" r:id="rId75"/>
    <sheet name="27-2000 Data Communication" sheetId="18" r:id="rId76"/>
    <sheet name="27-4000 AV" sheetId="17" r:id="rId77"/>
    <sheet name="28-1300 Access Control" sheetId="16" r:id="rId78"/>
    <sheet name="28-2300 Video Surveillanc" sheetId="15" r:id="rId79"/>
    <sheet name="28-3100 Fire Detection &amp; Alarm" sheetId="14" r:id="rId80"/>
    <sheet name="31-0000 Earthwork" sheetId="13" r:id="rId81"/>
    <sheet name="32-1216 Asphalt Paving" sheetId="12" r:id="rId82"/>
    <sheet name="32-1313 Site Concrete" sheetId="11" r:id="rId83"/>
    <sheet name="32-1400 Unit Pavers" sheetId="10" r:id="rId84"/>
    <sheet name="32-1813 Artificial Turf" sheetId="9" r:id="rId85"/>
    <sheet name="32-3100 Fences &amp; Gates" sheetId="8" r:id="rId86"/>
    <sheet name="32-3200 Retaining Wall" sheetId="7" r:id="rId87"/>
    <sheet name="32-9000 Landscaping &amp; Irr" sheetId="6" r:id="rId88"/>
    <sheet name="33-0000 Utilities" sheetId="5" r:id="rId89"/>
  </sheets>
  <definedNames>
    <definedName name="_xlnm.Print_Area" localSheetId="3">'02-4100 Demolition'!$A$2:$S$37</definedName>
    <definedName name="_xlnm.Print_Area" localSheetId="4">'02-9005 Final Clean'!$A$2:$S$37</definedName>
    <definedName name="_xlnm.Print_Area" localSheetId="5">'02-9200 Survey'!$A$2:$S$37</definedName>
    <definedName name="_xlnm.Print_Area" localSheetId="6">'03-3000 Concrete'!$A$2:$S$37</definedName>
    <definedName name="_xlnm.Print_Area" localSheetId="7">'03-4100 Precast Concrete'!$A$2:$S$37</definedName>
    <definedName name="_xlnm.Print_Area" localSheetId="8">'03-5413 Gypcrete'!$A$2:$S$37</definedName>
    <definedName name="_xlnm.Print_Area" localSheetId="9">'04-0000 Masonry'!$A$2:$S$37</definedName>
    <definedName name="_xlnm.Print_Area" localSheetId="10">'05-1200 Structural Steel'!$A$2:$S$41</definedName>
    <definedName name="_xlnm.Print_Area" localSheetId="11">'05-7210 Alum Decks'!$A$2:$S$37</definedName>
    <definedName name="_xlnm.Print_Area" localSheetId="12">'06-1000 Rough Carp'!$A$2:$S$37</definedName>
    <definedName name="_xlnm.Print_Area" localSheetId="13">'06-2000 Finish Carp'!$A$2:$S$37</definedName>
    <definedName name="_xlnm.Print_Area" localSheetId="14">'06-2200 Millwork'!$A$2:$S$37</definedName>
    <definedName name="_xlnm.Print_Area" localSheetId="15">'06-4100 Arch Casework'!$A$2:$S$37</definedName>
    <definedName name="_xlnm.Print_Area" localSheetId="16">'06-6113 Simulated Stone'!$A$2:$S$37</definedName>
    <definedName name="_xlnm.Print_Area" localSheetId="17">'06-6116 Solid Surfaces'!$A$2:$S$37</definedName>
    <definedName name="_xlnm.Print_Area" localSheetId="18">'06-8700 Pergolas'!$A$2:$S$37</definedName>
    <definedName name="_xlnm.Print_Area" localSheetId="19">'07-1000 Waterproofing'!$A$2:$S$37</definedName>
    <definedName name="_xlnm.Print_Area" localSheetId="20">'07-2100 Insulation'!$A$2:$S$37</definedName>
    <definedName name="_xlnm.Print_Area" localSheetId="21">'07-2500 Weather Barrier'!$A$2:$S$37</definedName>
    <definedName name="_xlnm.Print_Area" localSheetId="22">'07-3113 Asphalt Shingles'!$A$2:$S$37</definedName>
    <definedName name="_xlnm.Print_Area" localSheetId="23">'07-4213 Metal Panel Siding'!$A$2:$S$37</definedName>
    <definedName name="_xlnm.Print_Area" localSheetId="24">'07-4600 Siding'!$A$2:$S$37</definedName>
    <definedName name="_xlnm.Print_Area" localSheetId="25">'07-5000 Membrane Roofing'!$A$2:$S$37</definedName>
    <definedName name="_xlnm.Print_Area" localSheetId="26">'07-6200 Metal Flashing'!$A$2:$S$37</definedName>
    <definedName name="_xlnm.Print_Area" localSheetId="27">'07-7600 Roof Pavers'!$A$2:$S$37</definedName>
    <definedName name="_xlnm.Print_Area" localSheetId="28">'07-8100 Fire Proofing'!$A$2:$S$37</definedName>
    <definedName name="_xlnm.Print_Area" localSheetId="29">'07-9200 Joint Sealants'!$A$2:$S$37</definedName>
    <definedName name="_xlnm.Print_Area" localSheetId="30">'08-1000 Doors, Frames, HW'!$A$2:$S$37</definedName>
    <definedName name="_xlnm.Print_Area" localSheetId="31">'08-3113 Access Panels'!$A$2:$S$37</definedName>
    <definedName name="_xlnm.Print_Area" localSheetId="32">'08-3613 Overhead Doors'!$A$2:$S$37</definedName>
    <definedName name="_xlnm.Print_Area" localSheetId="33">'08-4000 Alum Entr &amp; Storefronts'!$A$2:$S$37</definedName>
    <definedName name="_xlnm.Print_Area" localSheetId="34">'08-5413 Windows &amp; Patio Doors'!$A$2:$S$37</definedName>
    <definedName name="_xlnm.Print_Area" localSheetId="35">'08-8330 Mirrors'!$A$2:$S$37</definedName>
    <definedName name="_xlnm.Print_Area" localSheetId="36">'09-2116 Gypsum Board Assemblies'!$A$2:$S$37</definedName>
    <definedName name="_xlnm.Print_Area" localSheetId="37">'09-2216 Steel Studs'!$A$2:$S$37</definedName>
    <definedName name="_xlnm.Print_Area" localSheetId="38">'09-3000 Tile'!$A$2:$S$37</definedName>
    <definedName name="_xlnm.Print_Area" localSheetId="39">'09-5113 Acoustical Tile Ceiling'!$A$2:$S$37</definedName>
    <definedName name="_xlnm.Print_Area" localSheetId="40">'09-6400 Wood Flooring'!$A$2:$S$37</definedName>
    <definedName name="_xlnm.Print_Area" localSheetId="41">'09-6500 Resilient Flooring'!$A$2:$S$37</definedName>
    <definedName name="_xlnm.Print_Area" localSheetId="42">'09-6600 Terrazzo Flooring'!$A$2:$S$37</definedName>
    <definedName name="_xlnm.Print_Area" localSheetId="43">'09-6800 Carpeting'!$A$2:$S$37</definedName>
    <definedName name="_xlnm.Print_Area" localSheetId="44">'09-9000 Painting and Coatings'!$A$2:$S$37</definedName>
    <definedName name="_xlnm.Print_Area" localSheetId="45">'10-0000 Specialties'!$A$2:$S$37</definedName>
    <definedName name="_xlnm.Print_Area" localSheetId="46">'10-1400 Signage'!$A$2:$S$37</definedName>
    <definedName name="_xlnm.Print_Area" localSheetId="47">'10-2213 Wire Mesh Stor Cag'!$A$2:$S$37</definedName>
    <definedName name="_xlnm.Print_Area" localSheetId="48">'10-2800 Toilet Accessories'!$A$2:$S$37</definedName>
    <definedName name="_xlnm.Print_Area" localSheetId="49">'10-2819 Tub &amp; Shower Doors'!$A$2:$S$37</definedName>
    <definedName name="_xlnm.Print_Area" localSheetId="50">'10-3100 Fireplaces'!$A$2:$S$37</definedName>
    <definedName name="_xlnm.Print_Area" localSheetId="51">'10-3110 Fire Pits'!$A$2:$S$37</definedName>
    <definedName name="_xlnm.Print_Area" localSheetId="52">'10-5500 Postal Specialties'!$A$2:$S$37</definedName>
    <definedName name="_xlnm.Print_Area" localSheetId="53">'10-5623 Closet Shelving'!$A$2:$S$37</definedName>
    <definedName name="_xlnm.Print_Area" localSheetId="54">'10-7313 Awnings &amp; Canopies'!$A$2:$S$37</definedName>
    <definedName name="_xlnm.Print_Area" localSheetId="55">'10-9000 Golf Simulator'!$A$2:$S$37</definedName>
    <definedName name="_xlnm.Print_Area" localSheetId="56">'11-2423 Window Washing Systems'!$A$2:$S$37</definedName>
    <definedName name="_xlnm.Print_Area" localSheetId="57">'11-3100 Appliances'!$A$2:$S$37</definedName>
    <definedName name="_xlnm.Print_Area" localSheetId="58">'11-6700 Recreational Equip'!$A$2:$S$37</definedName>
    <definedName name="_xlnm.Print_Area" localSheetId="59">'11-8216 Trash Compactors'!$A$2:$S$37</definedName>
    <definedName name="_xlnm.Print_Area" localSheetId="60">'12-2000 Window Treatments'!$A$2:$S$37</definedName>
    <definedName name="_xlnm.Print_Area" localSheetId="61">'12-3530 Residential Casework'!$A$2:$S$37</definedName>
    <definedName name="_xlnm.Print_Area" localSheetId="62">'12-3570 Hlthcare Casework &amp; FFE'!$A$2:$S$37</definedName>
    <definedName name="_xlnm.Print_Area" localSheetId="63">'12-3640 Residential Countertops'!$A$2:$S$37</definedName>
    <definedName name="_xlnm.Print_Area" localSheetId="64">'12-4813 Entrance Floor Mats'!$A$2:$S$37</definedName>
    <definedName name="_xlnm.Print_Area" localSheetId="65">'12-9313 Bike Racks'!$A$2:$S$37</definedName>
    <definedName name="_xlnm.Print_Area" localSheetId="66">'13-1100 Swimming Pools &amp; Spas'!$A$2:$S$37</definedName>
    <definedName name="_xlnm.Print_Area" localSheetId="67">'13-1900 Pet Equipment'!$A$2:$S$37</definedName>
    <definedName name="_xlnm.Print_Area" localSheetId="68">'13-2416 Saunas'!$A$2:$S$37</definedName>
    <definedName name="_xlnm.Print_Area" localSheetId="69">'14-2000 Elevators'!$A$2:$S$37</definedName>
    <definedName name="_xlnm.Print_Area" localSheetId="70">'14-9182 Trash Chute'!$A$2:$S$37</definedName>
    <definedName name="_xlnm.Print_Area" localSheetId="71">'21-0000 Fire Suppression'!$A$2:$S$37</definedName>
    <definedName name="_xlnm.Print_Area" localSheetId="72">'22-0000 Plumbing'!$A$2:$S$37</definedName>
    <definedName name="_xlnm.Print_Area" localSheetId="73">'23-0000 HVAC'!$A$2:$S$37</definedName>
    <definedName name="_xlnm.Print_Area" localSheetId="74">'26-0000 Electrical'!$A$2:$S$37</definedName>
    <definedName name="_xlnm.Print_Area" localSheetId="75">'27-2000 Data Communication'!$A$2:$S$37</definedName>
    <definedName name="_xlnm.Print_Area" localSheetId="76">'27-4000 AV'!$A$2:$S$37</definedName>
    <definedName name="_xlnm.Print_Area" localSheetId="77">'28-1300 Access Control'!$A$2:$S$37</definedName>
    <definedName name="_xlnm.Print_Area" localSheetId="78">'28-2300 Video Surveillanc'!$A$2:$S$37</definedName>
    <definedName name="_xlnm.Print_Area" localSheetId="79">'28-3100 Fire Detection &amp; Alarm'!$A$2:$S$37</definedName>
    <definedName name="_xlnm.Print_Area" localSheetId="80">'31-0000 Earthwork'!$A$2:$S$37</definedName>
    <definedName name="_xlnm.Print_Area" localSheetId="81">'32-1216 Asphalt Paving'!$A$2:$S$37</definedName>
    <definedName name="_xlnm.Print_Area" localSheetId="82">'32-1313 Site Concrete'!$A$2:$S$37</definedName>
    <definedName name="_xlnm.Print_Area" localSheetId="83">'32-1400 Unit Pavers'!$A$2:$S$37</definedName>
    <definedName name="_xlnm.Print_Area" localSheetId="84">'32-1813 Artificial Turf'!$A$2:$S$37</definedName>
    <definedName name="_xlnm.Print_Area" localSheetId="85">'32-3100 Fences &amp; Gates'!$A$2:$S$37</definedName>
    <definedName name="_xlnm.Print_Area" localSheetId="86">'32-3200 Retaining Wall'!$A$2:$S$37</definedName>
    <definedName name="_xlnm.Print_Area" localSheetId="87">'32-9000 Landscaping &amp; Irr'!$A$2:$S$37</definedName>
    <definedName name="_xlnm.Print_Area" localSheetId="88">'33-0000 Utilities'!$A$2:$S$37</definedName>
    <definedName name="_xlnm.Print_Area" localSheetId="2">BLANK!$A$2:$S$37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93" l="1"/>
  <c r="B35" i="93"/>
  <c r="M34" i="93"/>
  <c r="W33" i="93"/>
  <c r="U33" i="93"/>
  <c r="S33" i="93"/>
  <c r="Q33" i="93"/>
  <c r="O33" i="93"/>
  <c r="M33" i="93"/>
  <c r="M32" i="93"/>
  <c r="M35" i="93" s="1"/>
  <c r="C32" i="93"/>
  <c r="B32" i="93"/>
  <c r="W31" i="93"/>
  <c r="U31" i="93"/>
  <c r="S31" i="93"/>
  <c r="Q31" i="93"/>
  <c r="O31" i="93"/>
  <c r="M31" i="93"/>
  <c r="E31" i="93"/>
  <c r="W30" i="93"/>
  <c r="U30" i="93"/>
  <c r="S30" i="93"/>
  <c r="Q30" i="93"/>
  <c r="O30" i="93"/>
  <c r="M30" i="93"/>
  <c r="E30" i="93"/>
  <c r="W29" i="93"/>
  <c r="U29" i="93"/>
  <c r="S29" i="93"/>
  <c r="Q29" i="93"/>
  <c r="O29" i="93"/>
  <c r="M29" i="93"/>
  <c r="E29" i="93"/>
  <c r="W28" i="93"/>
  <c r="U28" i="93"/>
  <c r="S28" i="93"/>
  <c r="Q28" i="93"/>
  <c r="O28" i="93"/>
  <c r="M28" i="93"/>
  <c r="E28" i="93"/>
  <c r="W27" i="93"/>
  <c r="U27" i="93"/>
  <c r="S27" i="93"/>
  <c r="Q27" i="93"/>
  <c r="O27" i="93"/>
  <c r="M27" i="93"/>
  <c r="E27" i="93"/>
  <c r="W26" i="93"/>
  <c r="U26" i="93"/>
  <c r="S26" i="93"/>
  <c r="Q26" i="93"/>
  <c r="O26" i="93"/>
  <c r="M26" i="93"/>
  <c r="E26" i="93"/>
  <c r="W25" i="93"/>
  <c r="U25" i="93"/>
  <c r="S25" i="93"/>
  <c r="Q25" i="93"/>
  <c r="O25" i="93"/>
  <c r="M25" i="93"/>
  <c r="E25" i="93"/>
  <c r="W24" i="93"/>
  <c r="U24" i="93"/>
  <c r="S24" i="93"/>
  <c r="Q24" i="93"/>
  <c r="O24" i="93"/>
  <c r="M24" i="93"/>
  <c r="E24" i="93"/>
  <c r="W23" i="93"/>
  <c r="U23" i="93"/>
  <c r="S23" i="93"/>
  <c r="Q23" i="93"/>
  <c r="O23" i="93"/>
  <c r="M23" i="93"/>
  <c r="E23" i="93"/>
  <c r="W22" i="93"/>
  <c r="U22" i="93"/>
  <c r="S22" i="93"/>
  <c r="Q22" i="93"/>
  <c r="O22" i="93"/>
  <c r="M22" i="93"/>
  <c r="E22" i="93"/>
  <c r="W21" i="93"/>
  <c r="U21" i="93"/>
  <c r="S21" i="93"/>
  <c r="Q21" i="93"/>
  <c r="O21" i="93"/>
  <c r="M21" i="93"/>
  <c r="E21" i="93"/>
  <c r="W20" i="93"/>
  <c r="U20" i="93"/>
  <c r="S20" i="93"/>
  <c r="Q20" i="93"/>
  <c r="O20" i="93"/>
  <c r="M20" i="93"/>
  <c r="E20" i="93"/>
  <c r="W19" i="93"/>
  <c r="U19" i="93"/>
  <c r="S19" i="93"/>
  <c r="Q19" i="93"/>
  <c r="O19" i="93"/>
  <c r="M19" i="93"/>
  <c r="E19" i="93"/>
  <c r="W18" i="93"/>
  <c r="U18" i="93"/>
  <c r="S18" i="93"/>
  <c r="Q18" i="93"/>
  <c r="O18" i="93"/>
  <c r="M18" i="93"/>
  <c r="E18" i="93"/>
  <c r="W17" i="93"/>
  <c r="U17" i="93"/>
  <c r="S17" i="93"/>
  <c r="Q17" i="93"/>
  <c r="O17" i="93"/>
  <c r="M17" i="93"/>
  <c r="E17" i="93"/>
  <c r="W16" i="93"/>
  <c r="U16" i="93"/>
  <c r="S16" i="93"/>
  <c r="Q16" i="93"/>
  <c r="O16" i="93"/>
  <c r="M16" i="93"/>
  <c r="E16" i="93"/>
  <c r="W15" i="93"/>
  <c r="U15" i="93"/>
  <c r="S15" i="93"/>
  <c r="Q15" i="93"/>
  <c r="O15" i="93"/>
  <c r="M15" i="93"/>
  <c r="E15" i="93"/>
  <c r="W14" i="93"/>
  <c r="U14" i="93"/>
  <c r="S14" i="93"/>
  <c r="Q14" i="93"/>
  <c r="O14" i="93"/>
  <c r="M14" i="93"/>
  <c r="E14" i="93"/>
  <c r="W13" i="93"/>
  <c r="U13" i="93"/>
  <c r="S13" i="93"/>
  <c r="Q13" i="93"/>
  <c r="O13" i="93"/>
  <c r="M13" i="93"/>
  <c r="E13" i="93"/>
  <c r="W12" i="93"/>
  <c r="U12" i="93"/>
  <c r="S12" i="93"/>
  <c r="Q12" i="93"/>
  <c r="O12" i="93"/>
  <c r="M12" i="93"/>
  <c r="E12" i="93"/>
  <c r="W11" i="93"/>
  <c r="U11" i="93"/>
  <c r="S11" i="93"/>
  <c r="Q11" i="93"/>
  <c r="O11" i="93"/>
  <c r="M11" i="93"/>
  <c r="E11" i="93"/>
  <c r="W10" i="93"/>
  <c r="W32" i="93" s="1"/>
  <c r="U10" i="93"/>
  <c r="U32" i="93" s="1"/>
  <c r="S10" i="93"/>
  <c r="S32" i="93" s="1"/>
  <c r="Q10" i="93"/>
  <c r="Q32" i="93" s="1"/>
  <c r="O10" i="93"/>
  <c r="O32" i="93" s="1"/>
  <c r="M10" i="93"/>
  <c r="E10" i="93"/>
  <c r="W9" i="93"/>
  <c r="U9" i="93"/>
  <c r="S9" i="93"/>
  <c r="Q9" i="93"/>
  <c r="O9" i="93"/>
  <c r="M9" i="93"/>
  <c r="D4" i="93"/>
  <c r="D3" i="93"/>
  <c r="D2" i="93" a="1"/>
  <c r="D2" i="93" s="1"/>
  <c r="C35" i="92"/>
  <c r="B35" i="92"/>
  <c r="M34" i="92"/>
  <c r="W33" i="92"/>
  <c r="U33" i="92"/>
  <c r="S33" i="92"/>
  <c r="Q33" i="92"/>
  <c r="O33" i="92"/>
  <c r="M33" i="92"/>
  <c r="M32" i="92"/>
  <c r="M35" i="92" s="1"/>
  <c r="C32" i="92"/>
  <c r="B32" i="92"/>
  <c r="W31" i="92"/>
  <c r="U31" i="92"/>
  <c r="S31" i="92"/>
  <c r="Q31" i="92"/>
  <c r="O31" i="92"/>
  <c r="M31" i="92"/>
  <c r="E31" i="92"/>
  <c r="W30" i="92"/>
  <c r="U30" i="92"/>
  <c r="S30" i="92"/>
  <c r="Q30" i="92"/>
  <c r="O30" i="92"/>
  <c r="M30" i="92"/>
  <c r="E30" i="92"/>
  <c r="W29" i="92"/>
  <c r="U29" i="92"/>
  <c r="S29" i="92"/>
  <c r="Q29" i="92"/>
  <c r="O29" i="92"/>
  <c r="M29" i="92"/>
  <c r="E29" i="92"/>
  <c r="W28" i="92"/>
  <c r="U28" i="92"/>
  <c r="S28" i="92"/>
  <c r="Q28" i="92"/>
  <c r="O28" i="92"/>
  <c r="M28" i="92"/>
  <c r="E28" i="92"/>
  <c r="W27" i="92"/>
  <c r="U27" i="92"/>
  <c r="S27" i="92"/>
  <c r="Q27" i="92"/>
  <c r="O27" i="92"/>
  <c r="M27" i="92"/>
  <c r="E27" i="92"/>
  <c r="W26" i="92"/>
  <c r="U26" i="92"/>
  <c r="S26" i="92"/>
  <c r="Q26" i="92"/>
  <c r="O26" i="92"/>
  <c r="M26" i="92"/>
  <c r="E26" i="92"/>
  <c r="W25" i="92"/>
  <c r="U25" i="92"/>
  <c r="S25" i="92"/>
  <c r="Q25" i="92"/>
  <c r="O25" i="92"/>
  <c r="M25" i="92"/>
  <c r="E25" i="92"/>
  <c r="W24" i="92"/>
  <c r="U24" i="92"/>
  <c r="S24" i="92"/>
  <c r="Q24" i="92"/>
  <c r="O24" i="92"/>
  <c r="M24" i="92"/>
  <c r="E24" i="92"/>
  <c r="W23" i="92"/>
  <c r="U23" i="92"/>
  <c r="S23" i="92"/>
  <c r="Q23" i="92"/>
  <c r="O23" i="92"/>
  <c r="M23" i="92"/>
  <c r="E23" i="92"/>
  <c r="W22" i="92"/>
  <c r="U22" i="92"/>
  <c r="S22" i="92"/>
  <c r="Q22" i="92"/>
  <c r="O22" i="92"/>
  <c r="M22" i="92"/>
  <c r="E22" i="92"/>
  <c r="W21" i="92"/>
  <c r="U21" i="92"/>
  <c r="S21" i="92"/>
  <c r="Q21" i="92"/>
  <c r="O21" i="92"/>
  <c r="M21" i="92"/>
  <c r="E21" i="92"/>
  <c r="W20" i="92"/>
  <c r="U20" i="92"/>
  <c r="S20" i="92"/>
  <c r="Q20" i="92"/>
  <c r="O20" i="92"/>
  <c r="M20" i="92"/>
  <c r="E20" i="92"/>
  <c r="W19" i="92"/>
  <c r="U19" i="92"/>
  <c r="S19" i="92"/>
  <c r="Q19" i="92"/>
  <c r="O19" i="92"/>
  <c r="M19" i="92"/>
  <c r="E19" i="92"/>
  <c r="W18" i="92"/>
  <c r="U18" i="92"/>
  <c r="S18" i="92"/>
  <c r="Q18" i="92"/>
  <c r="O18" i="92"/>
  <c r="M18" i="92"/>
  <c r="E18" i="92"/>
  <c r="W17" i="92"/>
  <c r="U17" i="92"/>
  <c r="S17" i="92"/>
  <c r="Q17" i="92"/>
  <c r="O17" i="92"/>
  <c r="M17" i="92"/>
  <c r="E17" i="92"/>
  <c r="W16" i="92"/>
  <c r="U16" i="92"/>
  <c r="S16" i="92"/>
  <c r="Q16" i="92"/>
  <c r="O16" i="92"/>
  <c r="M16" i="92"/>
  <c r="E16" i="92"/>
  <c r="W15" i="92"/>
  <c r="U15" i="92"/>
  <c r="S15" i="92"/>
  <c r="Q15" i="92"/>
  <c r="O15" i="92"/>
  <c r="M15" i="92"/>
  <c r="E15" i="92"/>
  <c r="W14" i="92"/>
  <c r="U14" i="92"/>
  <c r="S14" i="92"/>
  <c r="Q14" i="92"/>
  <c r="O14" i="92"/>
  <c r="M14" i="92"/>
  <c r="E14" i="92"/>
  <c r="W13" i="92"/>
  <c r="U13" i="92"/>
  <c r="S13" i="92"/>
  <c r="Q13" i="92"/>
  <c r="O13" i="92"/>
  <c r="M13" i="92"/>
  <c r="E13" i="92"/>
  <c r="W12" i="92"/>
  <c r="U12" i="92"/>
  <c r="S12" i="92"/>
  <c r="Q12" i="92"/>
  <c r="O12" i="92"/>
  <c r="M12" i="92"/>
  <c r="E12" i="92"/>
  <c r="W11" i="92"/>
  <c r="U11" i="92"/>
  <c r="S11" i="92"/>
  <c r="Q11" i="92"/>
  <c r="O11" i="92"/>
  <c r="M11" i="92"/>
  <c r="E11" i="92"/>
  <c r="W10" i="92"/>
  <c r="W32" i="92" s="1"/>
  <c r="U10" i="92"/>
  <c r="U32" i="92" s="1"/>
  <c r="S10" i="92"/>
  <c r="S32" i="92" s="1"/>
  <c r="Q10" i="92"/>
  <c r="Q32" i="92" s="1"/>
  <c r="O10" i="92"/>
  <c r="O32" i="92" s="1"/>
  <c r="M10" i="92"/>
  <c r="E10" i="92"/>
  <c r="W9" i="92"/>
  <c r="U9" i="92"/>
  <c r="S9" i="92"/>
  <c r="Q9" i="92"/>
  <c r="O9" i="92"/>
  <c r="M9" i="92"/>
  <c r="D4" i="92"/>
  <c r="D3" i="92"/>
  <c r="D2" i="92" a="1"/>
  <c r="D2" i="92" s="1"/>
  <c r="D4" i="81"/>
  <c r="D3" i="81"/>
  <c r="H3" i="88" a="1"/>
  <c r="H3" i="88" s="1"/>
  <c r="W36" i="81"/>
  <c r="U36" i="81"/>
  <c r="S36" i="81"/>
  <c r="Q36" i="81"/>
  <c r="O36" i="81"/>
  <c r="M36" i="81"/>
  <c r="D35" i="81"/>
  <c r="D38" i="81" s="1"/>
  <c r="C35" i="81"/>
  <c r="C38" i="81" s="1"/>
  <c r="B35" i="81"/>
  <c r="B38" i="81" s="1"/>
  <c r="W34" i="81"/>
  <c r="U34" i="81"/>
  <c r="S34" i="81"/>
  <c r="Q34" i="81"/>
  <c r="O34" i="81"/>
  <c r="M34" i="81"/>
  <c r="H3" i="81" s="1" a="1"/>
  <c r="H3" i="81" s="1"/>
  <c r="E34" i="81"/>
  <c r="W33" i="81"/>
  <c r="U33" i="81"/>
  <c r="S33" i="81"/>
  <c r="Q33" i="81"/>
  <c r="O33" i="81"/>
  <c r="M33" i="81"/>
  <c r="E33" i="81"/>
  <c r="W32" i="81"/>
  <c r="U32" i="81"/>
  <c r="S32" i="81"/>
  <c r="Q32" i="81"/>
  <c r="O32" i="81"/>
  <c r="M32" i="81"/>
  <c r="E32" i="81"/>
  <c r="W31" i="81"/>
  <c r="U31" i="81"/>
  <c r="S31" i="81"/>
  <c r="Q31" i="81"/>
  <c r="O31" i="81"/>
  <c r="M31" i="81"/>
  <c r="E31" i="81"/>
  <c r="W30" i="81"/>
  <c r="U30" i="81"/>
  <c r="S30" i="81"/>
  <c r="Q30" i="81"/>
  <c r="O30" i="81"/>
  <c r="M30" i="81"/>
  <c r="E30" i="81"/>
  <c r="W29" i="81"/>
  <c r="U29" i="81"/>
  <c r="S29" i="81"/>
  <c r="Q29" i="81"/>
  <c r="O29" i="81"/>
  <c r="M29" i="81"/>
  <c r="E29" i="81"/>
  <c r="W28" i="81"/>
  <c r="U28" i="81"/>
  <c r="S28" i="81"/>
  <c r="Q28" i="81"/>
  <c r="O28" i="81"/>
  <c r="M28" i="81"/>
  <c r="E28" i="81"/>
  <c r="W27" i="81"/>
  <c r="U27" i="81"/>
  <c r="S27" i="81"/>
  <c r="Q27" i="81"/>
  <c r="O27" i="81"/>
  <c r="M27" i="81"/>
  <c r="E27" i="81"/>
  <c r="W26" i="81"/>
  <c r="U26" i="81"/>
  <c r="S26" i="81"/>
  <c r="Q26" i="81"/>
  <c r="O26" i="81"/>
  <c r="M26" i="81"/>
  <c r="E26" i="81"/>
  <c r="W25" i="81"/>
  <c r="U25" i="81"/>
  <c r="S25" i="81"/>
  <c r="Q25" i="81"/>
  <c r="O25" i="81"/>
  <c r="M25" i="81"/>
  <c r="E25" i="81"/>
  <c r="W24" i="81"/>
  <c r="U24" i="81"/>
  <c r="S24" i="81"/>
  <c r="Q24" i="81"/>
  <c r="O24" i="81"/>
  <c r="M24" i="81"/>
  <c r="E24" i="81"/>
  <c r="W23" i="81"/>
  <c r="U23" i="81"/>
  <c r="S23" i="81"/>
  <c r="Q23" i="81"/>
  <c r="O23" i="81"/>
  <c r="M23" i="81"/>
  <c r="E23" i="81"/>
  <c r="W22" i="81"/>
  <c r="U22" i="81"/>
  <c r="S22" i="81"/>
  <c r="Q22" i="81"/>
  <c r="O22" i="81"/>
  <c r="M22" i="81"/>
  <c r="E22" i="81"/>
  <c r="W21" i="81"/>
  <c r="U21" i="81"/>
  <c r="S21" i="81"/>
  <c r="Q21" i="81"/>
  <c r="O21" i="81"/>
  <c r="M21" i="81"/>
  <c r="E21" i="81"/>
  <c r="W20" i="81"/>
  <c r="U20" i="81"/>
  <c r="S20" i="81"/>
  <c r="Q20" i="81"/>
  <c r="O20" i="81"/>
  <c r="M20" i="81"/>
  <c r="E20" i="81"/>
  <c r="W19" i="81"/>
  <c r="U19" i="81"/>
  <c r="S19" i="81"/>
  <c r="Q19" i="81"/>
  <c r="O19" i="81"/>
  <c r="M19" i="81"/>
  <c r="E19" i="81"/>
  <c r="W18" i="81"/>
  <c r="U18" i="81"/>
  <c r="S18" i="81"/>
  <c r="Q18" i="81"/>
  <c r="O18" i="81"/>
  <c r="M18" i="81"/>
  <c r="E18" i="81"/>
  <c r="W17" i="81"/>
  <c r="U17" i="81"/>
  <c r="S17" i="81"/>
  <c r="Q17" i="81"/>
  <c r="O17" i="81"/>
  <c r="M17" i="81"/>
  <c r="E17" i="81"/>
  <c r="W16" i="81"/>
  <c r="U16" i="81"/>
  <c r="S16" i="81"/>
  <c r="Q16" i="81"/>
  <c r="O16" i="81"/>
  <c r="M16" i="81"/>
  <c r="E16" i="81"/>
  <c r="W15" i="81"/>
  <c r="U15" i="81"/>
  <c r="S15" i="81"/>
  <c r="Q15" i="81"/>
  <c r="O15" i="81"/>
  <c r="M15" i="81"/>
  <c r="E15" i="81"/>
  <c r="W14" i="81"/>
  <c r="U14" i="81"/>
  <c r="S14" i="81"/>
  <c r="Q14" i="81"/>
  <c r="O14" i="81"/>
  <c r="M14" i="81"/>
  <c r="E14" i="81"/>
  <c r="W13" i="81"/>
  <c r="U13" i="81"/>
  <c r="S13" i="81"/>
  <c r="Q13" i="81"/>
  <c r="O13" i="81"/>
  <c r="M13" i="81"/>
  <c r="E13" i="81"/>
  <c r="W12" i="81"/>
  <c r="U12" i="81"/>
  <c r="S12" i="81"/>
  <c r="Q12" i="81"/>
  <c r="O12" i="81"/>
  <c r="M12" i="81"/>
  <c r="E12" i="81"/>
  <c r="W11" i="81"/>
  <c r="U11" i="81"/>
  <c r="S11" i="81"/>
  <c r="Q11" i="81"/>
  <c r="O11" i="81"/>
  <c r="M11" i="81"/>
  <c r="E11" i="81"/>
  <c r="W10" i="81"/>
  <c r="U10" i="81"/>
  <c r="S10" i="81"/>
  <c r="Q10" i="81"/>
  <c r="O10" i="81"/>
  <c r="M10" i="81"/>
  <c r="E10" i="81"/>
  <c r="W9" i="81"/>
  <c r="U9" i="81"/>
  <c r="S9" i="81"/>
  <c r="Q9" i="81"/>
  <c r="O9" i="81"/>
  <c r="M9" i="81"/>
  <c r="D2" i="81" a="1"/>
  <c r="D2" i="81" s="1"/>
  <c r="S34" i="93" l="1"/>
  <c r="S35" i="93" s="1"/>
  <c r="W34" i="93"/>
  <c r="W35" i="93"/>
  <c r="O34" i="93"/>
  <c r="O35" i="93" s="1"/>
  <c r="Q34" i="93"/>
  <c r="Q35" i="93"/>
  <c r="U34" i="93"/>
  <c r="U35" i="93"/>
  <c r="O34" i="92"/>
  <c r="O35" i="92" s="1"/>
  <c r="Q35" i="92"/>
  <c r="Q34" i="92"/>
  <c r="W34" i="92"/>
  <c r="W35" i="92"/>
  <c r="U34" i="92"/>
  <c r="U35" i="92" s="1"/>
  <c r="S34" i="92"/>
  <c r="S35" i="92" s="1"/>
  <c r="M35" i="81"/>
  <c r="M37" i="81" s="1"/>
  <c r="M38" i="81" s="1"/>
  <c r="O35" i="81"/>
  <c r="O37" i="81" s="1"/>
  <c r="Q35" i="81"/>
  <c r="Q37" i="81" s="1"/>
  <c r="Q38" i="81" s="1"/>
  <c r="W35" i="81"/>
  <c r="W37" i="81" s="1"/>
  <c r="W38" i="81" s="1"/>
  <c r="U35" i="81"/>
  <c r="U37" i="81" s="1"/>
  <c r="S35" i="81"/>
  <c r="C35" i="82"/>
  <c r="C35" i="35"/>
  <c r="C35" i="33"/>
  <c r="C35" i="32"/>
  <c r="C35" i="31"/>
  <c r="B35" i="91"/>
  <c r="B35" i="87"/>
  <c r="B35" i="86"/>
  <c r="B35" i="85"/>
  <c r="B35" i="84"/>
  <c r="B35" i="83"/>
  <c r="B35" i="82"/>
  <c r="B35" i="80"/>
  <c r="B35" i="79"/>
  <c r="B35" i="78"/>
  <c r="B35" i="77"/>
  <c r="B35" i="76"/>
  <c r="B35" i="75"/>
  <c r="B35" i="74"/>
  <c r="B35" i="73"/>
  <c r="B35" i="72"/>
  <c r="B35" i="71"/>
  <c r="B35" i="70"/>
  <c r="B35" i="69"/>
  <c r="B35" i="68"/>
  <c r="B35" i="67"/>
  <c r="B35" i="66"/>
  <c r="B35" i="65"/>
  <c r="B35" i="64"/>
  <c r="B35" i="63"/>
  <c r="B35" i="62"/>
  <c r="B35" i="61"/>
  <c r="B35" i="60"/>
  <c r="B35" i="59"/>
  <c r="B35" i="58"/>
  <c r="B35" i="57"/>
  <c r="B35" i="54"/>
  <c r="B35" i="56"/>
  <c r="B35" i="53"/>
  <c r="B35" i="52"/>
  <c r="B35" i="51"/>
  <c r="B35" i="50"/>
  <c r="B35" i="49"/>
  <c r="B35" i="48"/>
  <c r="B35" i="47"/>
  <c r="B35" i="89"/>
  <c r="B35" i="46"/>
  <c r="B35" i="45"/>
  <c r="B35" i="44"/>
  <c r="B35" i="43"/>
  <c r="B35" i="42"/>
  <c r="B35" i="41"/>
  <c r="B35" i="40"/>
  <c r="B35" i="39"/>
  <c r="B35" i="38"/>
  <c r="B35" i="37"/>
  <c r="B35" i="36"/>
  <c r="B35" i="35"/>
  <c r="B35" i="34"/>
  <c r="B35" i="33"/>
  <c r="B35" i="32"/>
  <c r="B35" i="31"/>
  <c r="B35" i="30"/>
  <c r="B35" i="29"/>
  <c r="B35" i="28"/>
  <c r="B35" i="27"/>
  <c r="B35" i="26"/>
  <c r="B35" i="25"/>
  <c r="B35" i="24"/>
  <c r="B35" i="23"/>
  <c r="B35" i="22"/>
  <c r="B35" i="21"/>
  <c r="B35" i="20"/>
  <c r="B35" i="19"/>
  <c r="B35" i="18"/>
  <c r="B35" i="17"/>
  <c r="B35" i="16"/>
  <c r="B35" i="15"/>
  <c r="B35" i="14"/>
  <c r="B35" i="13"/>
  <c r="B35" i="12"/>
  <c r="B35" i="11"/>
  <c r="B35" i="10"/>
  <c r="B35" i="9"/>
  <c r="B35" i="8"/>
  <c r="B35" i="7"/>
  <c r="B35" i="6"/>
  <c r="B35" i="5"/>
  <c r="B35" i="88"/>
  <c r="C32" i="91"/>
  <c r="C35" i="91" s="1"/>
  <c r="C32" i="87"/>
  <c r="C35" i="87" s="1"/>
  <c r="C32" i="86"/>
  <c r="C35" i="86" s="1"/>
  <c r="C32" i="85"/>
  <c r="C35" i="85" s="1"/>
  <c r="C32" i="84"/>
  <c r="C35" i="84" s="1"/>
  <c r="C32" i="83"/>
  <c r="C35" i="83" s="1"/>
  <c r="C32" i="82"/>
  <c r="C32" i="80"/>
  <c r="C35" i="80" s="1"/>
  <c r="C32" i="79"/>
  <c r="C35" i="79" s="1"/>
  <c r="C32" i="78"/>
  <c r="C35" i="78" s="1"/>
  <c r="C32" i="77"/>
  <c r="C35" i="77" s="1"/>
  <c r="C32" i="76"/>
  <c r="C35" i="76" s="1"/>
  <c r="C32" i="75"/>
  <c r="C35" i="75" s="1"/>
  <c r="C32" i="74"/>
  <c r="C35" i="74" s="1"/>
  <c r="C32" i="73"/>
  <c r="C35" i="73" s="1"/>
  <c r="C32" i="72"/>
  <c r="C35" i="72" s="1"/>
  <c r="C32" i="71"/>
  <c r="C35" i="71" s="1"/>
  <c r="C32" i="70"/>
  <c r="C35" i="70" s="1"/>
  <c r="C32" i="69"/>
  <c r="C35" i="69" s="1"/>
  <c r="C32" i="68"/>
  <c r="C35" i="68" s="1"/>
  <c r="C32" i="67"/>
  <c r="C35" i="67" s="1"/>
  <c r="C32" i="66"/>
  <c r="C35" i="66" s="1"/>
  <c r="C32" i="65"/>
  <c r="C35" i="65" s="1"/>
  <c r="C32" i="64"/>
  <c r="C35" i="64" s="1"/>
  <c r="C32" i="63"/>
  <c r="C35" i="63" s="1"/>
  <c r="C32" i="62"/>
  <c r="C35" i="62" s="1"/>
  <c r="C32" i="61"/>
  <c r="C35" i="61" s="1"/>
  <c r="C32" i="60"/>
  <c r="C35" i="60" s="1"/>
  <c r="C32" i="59"/>
  <c r="C35" i="59" s="1"/>
  <c r="C32" i="58"/>
  <c r="C35" i="58" s="1"/>
  <c r="C32" i="57"/>
  <c r="C35" i="57" s="1"/>
  <c r="C32" i="54"/>
  <c r="C35" i="54" s="1"/>
  <c r="C32" i="56"/>
  <c r="C35" i="56" s="1"/>
  <c r="C32" i="53"/>
  <c r="C35" i="53" s="1"/>
  <c r="C32" i="52"/>
  <c r="C35" i="52" s="1"/>
  <c r="C32" i="51"/>
  <c r="C35" i="51" s="1"/>
  <c r="C32" i="50"/>
  <c r="C35" i="50" s="1"/>
  <c r="C32" i="49"/>
  <c r="C35" i="49" s="1"/>
  <c r="C32" i="48"/>
  <c r="C35" i="48" s="1"/>
  <c r="C32" i="47"/>
  <c r="C35" i="47" s="1"/>
  <c r="C32" i="89"/>
  <c r="C35" i="89" s="1"/>
  <c r="C32" i="46"/>
  <c r="C35" i="46" s="1"/>
  <c r="C32" i="45"/>
  <c r="C35" i="45" s="1"/>
  <c r="C32" i="44"/>
  <c r="C35" i="44" s="1"/>
  <c r="C32" i="43"/>
  <c r="C35" i="43" s="1"/>
  <c r="C32" i="42"/>
  <c r="C35" i="42" s="1"/>
  <c r="C32" i="41"/>
  <c r="C35" i="41" s="1"/>
  <c r="C32" i="40"/>
  <c r="C35" i="40" s="1"/>
  <c r="C32" i="39"/>
  <c r="C35" i="39" s="1"/>
  <c r="C32" i="38"/>
  <c r="C35" i="38" s="1"/>
  <c r="C32" i="37"/>
  <c r="C35" i="37" s="1"/>
  <c r="C32" i="36"/>
  <c r="C35" i="36" s="1"/>
  <c r="C32" i="35"/>
  <c r="C32" i="34"/>
  <c r="C35" i="34" s="1"/>
  <c r="C32" i="33"/>
  <c r="C32" i="32"/>
  <c r="C32" i="31"/>
  <c r="C32" i="30"/>
  <c r="C35" i="30" s="1"/>
  <c r="C32" i="29"/>
  <c r="C35" i="29" s="1"/>
  <c r="C32" i="28"/>
  <c r="C35" i="28" s="1"/>
  <c r="C32" i="27"/>
  <c r="C35" i="27" s="1"/>
  <c r="C32" i="26"/>
  <c r="C35" i="26" s="1"/>
  <c r="C32" i="25"/>
  <c r="C35" i="25" s="1"/>
  <c r="C32" i="24"/>
  <c r="C35" i="24" s="1"/>
  <c r="C32" i="23"/>
  <c r="C35" i="23" s="1"/>
  <c r="C32" i="22"/>
  <c r="C35" i="22" s="1"/>
  <c r="C32" i="21"/>
  <c r="C35" i="21" s="1"/>
  <c r="C32" i="20"/>
  <c r="C35" i="20" s="1"/>
  <c r="C32" i="19"/>
  <c r="C35" i="19" s="1"/>
  <c r="C32" i="18"/>
  <c r="C35" i="18" s="1"/>
  <c r="C32" i="17"/>
  <c r="C35" i="17" s="1"/>
  <c r="C32" i="16"/>
  <c r="C35" i="16" s="1"/>
  <c r="C32" i="15"/>
  <c r="C35" i="15" s="1"/>
  <c r="C32" i="14"/>
  <c r="C35" i="14" s="1"/>
  <c r="C32" i="13"/>
  <c r="C35" i="13" s="1"/>
  <c r="C32" i="12"/>
  <c r="C35" i="12" s="1"/>
  <c r="C32" i="11"/>
  <c r="C35" i="11" s="1"/>
  <c r="C32" i="10"/>
  <c r="C35" i="10" s="1"/>
  <c r="C32" i="9"/>
  <c r="C35" i="9" s="1"/>
  <c r="C32" i="8"/>
  <c r="C35" i="8" s="1"/>
  <c r="C32" i="7"/>
  <c r="C35" i="7" s="1"/>
  <c r="C32" i="6"/>
  <c r="C35" i="6" s="1"/>
  <c r="C32" i="5"/>
  <c r="C35" i="5" s="1"/>
  <c r="C32" i="88"/>
  <c r="C35" i="88" s="1"/>
  <c r="B32" i="91"/>
  <c r="B32" i="87"/>
  <c r="B32" i="86"/>
  <c r="B32" i="85"/>
  <c r="B32" i="84"/>
  <c r="B32" i="83"/>
  <c r="B32" i="82"/>
  <c r="B32" i="80"/>
  <c r="B32" i="79"/>
  <c r="B32" i="78"/>
  <c r="B32" i="77"/>
  <c r="B32" i="76"/>
  <c r="B32" i="75"/>
  <c r="B32" i="74"/>
  <c r="B32" i="73"/>
  <c r="B32" i="72"/>
  <c r="B32" i="71"/>
  <c r="B32" i="70"/>
  <c r="B32" i="69"/>
  <c r="B32" i="68"/>
  <c r="B32" i="67"/>
  <c r="B32" i="66"/>
  <c r="B32" i="65"/>
  <c r="B32" i="64"/>
  <c r="B32" i="63"/>
  <c r="B32" i="62"/>
  <c r="B32" i="61"/>
  <c r="B32" i="60"/>
  <c r="B32" i="59"/>
  <c r="B32" i="58"/>
  <c r="B32" i="57"/>
  <c r="B32" i="54"/>
  <c r="B32" i="56"/>
  <c r="B32" i="53"/>
  <c r="B32" i="52"/>
  <c r="B32" i="51"/>
  <c r="B32" i="50"/>
  <c r="B32" i="49"/>
  <c r="B32" i="48"/>
  <c r="B32" i="47"/>
  <c r="B32" i="89"/>
  <c r="B32" i="46"/>
  <c r="B32" i="45"/>
  <c r="B32" i="44"/>
  <c r="B32" i="43"/>
  <c r="B32" i="42"/>
  <c r="B32" i="41"/>
  <c r="B32" i="40"/>
  <c r="B32" i="39"/>
  <c r="B32" i="38"/>
  <c r="B32" i="37"/>
  <c r="B32" i="36"/>
  <c r="B32" i="35"/>
  <c r="B32" i="34"/>
  <c r="B32" i="33"/>
  <c r="B32" i="32"/>
  <c r="B32" i="31"/>
  <c r="B32" i="30"/>
  <c r="B32" i="29"/>
  <c r="B32" i="28"/>
  <c r="B32" i="27"/>
  <c r="B32" i="26"/>
  <c r="B32" i="25"/>
  <c r="B32" i="24"/>
  <c r="B32" i="23"/>
  <c r="B32" i="22"/>
  <c r="B32" i="21"/>
  <c r="B32" i="20"/>
  <c r="B32" i="19"/>
  <c r="B32" i="18"/>
  <c r="B32" i="17"/>
  <c r="B32" i="16"/>
  <c r="B32" i="15"/>
  <c r="B32" i="14"/>
  <c r="B32" i="13"/>
  <c r="B32" i="12"/>
  <c r="B32" i="11"/>
  <c r="B32" i="10"/>
  <c r="B32" i="9"/>
  <c r="B32" i="8"/>
  <c r="B32" i="7"/>
  <c r="B32" i="6"/>
  <c r="B32" i="5"/>
  <c r="B32" i="88"/>
  <c r="D9" i="93" l="1" a="1"/>
  <c r="D9" i="93" s="1"/>
  <c r="D9" i="92" a="1"/>
  <c r="D9" i="92" s="1"/>
  <c r="O38" i="81"/>
  <c r="D9" i="81" a="1"/>
  <c r="D9" i="81" s="1"/>
  <c r="E9" i="81" s="1"/>
  <c r="E35" i="81" s="1"/>
  <c r="E38" i="81" s="1"/>
  <c r="U38" i="81"/>
  <c r="S37" i="81"/>
  <c r="S38" i="81" s="1"/>
  <c r="M11" i="85"/>
  <c r="O11" i="85"/>
  <c r="D32" i="93" l="1"/>
  <c r="D35" i="93" s="1"/>
  <c r="E9" i="93"/>
  <c r="E32" i="93" s="1"/>
  <c r="E35" i="93" s="1"/>
  <c r="E9" i="92"/>
  <c r="E32" i="92" s="1"/>
  <c r="E35" i="92" s="1"/>
  <c r="D32" i="92"/>
  <c r="D35" i="92" s="1"/>
  <c r="U39" i="81"/>
  <c r="U40" i="81" s="1"/>
  <c r="O39" i="81"/>
  <c r="O40" i="81" s="1"/>
  <c r="S39" i="81"/>
  <c r="S40" i="81" s="1"/>
  <c r="M39" i="81"/>
  <c r="M40" i="81" s="1"/>
  <c r="Q39" i="81"/>
  <c r="Q40" i="81" s="1"/>
  <c r="W39" i="81"/>
  <c r="W40" i="81" s="1"/>
  <c r="W33" i="91"/>
  <c r="U33" i="91"/>
  <c r="S33" i="91"/>
  <c r="Q33" i="91"/>
  <c r="O33" i="91"/>
  <c r="M33" i="91"/>
  <c r="W31" i="91"/>
  <c r="U31" i="91"/>
  <c r="S31" i="91"/>
  <c r="Q31" i="91"/>
  <c r="O31" i="91"/>
  <c r="M31" i="91"/>
  <c r="E31" i="91"/>
  <c r="W30" i="91"/>
  <c r="U30" i="91"/>
  <c r="S30" i="91"/>
  <c r="Q30" i="91"/>
  <c r="O30" i="91"/>
  <c r="M30" i="91"/>
  <c r="E30" i="91"/>
  <c r="W29" i="91"/>
  <c r="U29" i="91"/>
  <c r="S29" i="91"/>
  <c r="Q29" i="91"/>
  <c r="O29" i="91"/>
  <c r="M29" i="91"/>
  <c r="E29" i="91"/>
  <c r="W28" i="91"/>
  <c r="U28" i="91"/>
  <c r="S28" i="91"/>
  <c r="Q28" i="91"/>
  <c r="O28" i="91"/>
  <c r="M28" i="91"/>
  <c r="E28" i="91"/>
  <c r="W27" i="91"/>
  <c r="U27" i="91"/>
  <c r="S27" i="91"/>
  <c r="Q27" i="91"/>
  <c r="O27" i="91"/>
  <c r="M27" i="91"/>
  <c r="E27" i="91"/>
  <c r="W26" i="91"/>
  <c r="U26" i="91"/>
  <c r="S26" i="91"/>
  <c r="Q26" i="91"/>
  <c r="O26" i="91"/>
  <c r="M26" i="91"/>
  <c r="E26" i="91"/>
  <c r="W25" i="91"/>
  <c r="U25" i="91"/>
  <c r="S25" i="91"/>
  <c r="Q25" i="91"/>
  <c r="O25" i="91"/>
  <c r="M25" i="91"/>
  <c r="E25" i="91"/>
  <c r="W24" i="91"/>
  <c r="U24" i="91"/>
  <c r="S24" i="91"/>
  <c r="Q24" i="91"/>
  <c r="O24" i="91"/>
  <c r="M24" i="91"/>
  <c r="E24" i="91"/>
  <c r="W23" i="91"/>
  <c r="U23" i="91"/>
  <c r="S23" i="91"/>
  <c r="Q23" i="91"/>
  <c r="O23" i="91"/>
  <c r="M23" i="91"/>
  <c r="E23" i="91"/>
  <c r="W22" i="91"/>
  <c r="U22" i="91"/>
  <c r="S22" i="91"/>
  <c r="Q22" i="91"/>
  <c r="O22" i="91"/>
  <c r="M22" i="91"/>
  <c r="E22" i="91"/>
  <c r="W21" i="91"/>
  <c r="U21" i="91"/>
  <c r="S21" i="91"/>
  <c r="Q21" i="91"/>
  <c r="O21" i="91"/>
  <c r="M21" i="91"/>
  <c r="E21" i="91"/>
  <c r="W20" i="91"/>
  <c r="U20" i="91"/>
  <c r="S20" i="91"/>
  <c r="Q20" i="91"/>
  <c r="O20" i="91"/>
  <c r="M20" i="91"/>
  <c r="E20" i="91"/>
  <c r="W19" i="91"/>
  <c r="U19" i="91"/>
  <c r="S19" i="91"/>
  <c r="Q19" i="91"/>
  <c r="O19" i="91"/>
  <c r="M19" i="91"/>
  <c r="E19" i="91"/>
  <c r="W18" i="91"/>
  <c r="U18" i="91"/>
  <c r="S18" i="91"/>
  <c r="Q18" i="91"/>
  <c r="O18" i="91"/>
  <c r="M18" i="91"/>
  <c r="E18" i="91"/>
  <c r="W17" i="91"/>
  <c r="U17" i="91"/>
  <c r="S17" i="91"/>
  <c r="Q17" i="91"/>
  <c r="O17" i="91"/>
  <c r="M17" i="91"/>
  <c r="E17" i="91"/>
  <c r="W16" i="91"/>
  <c r="U16" i="91"/>
  <c r="S16" i="91"/>
  <c r="Q16" i="91"/>
  <c r="O16" i="91"/>
  <c r="M16" i="91"/>
  <c r="E16" i="91"/>
  <c r="W15" i="91"/>
  <c r="U15" i="91"/>
  <c r="S15" i="91"/>
  <c r="Q15" i="91"/>
  <c r="O15" i="91"/>
  <c r="M15" i="91"/>
  <c r="E15" i="91"/>
  <c r="W14" i="91"/>
  <c r="U14" i="91"/>
  <c r="S14" i="91"/>
  <c r="Q14" i="91"/>
  <c r="O14" i="91"/>
  <c r="M14" i="91"/>
  <c r="E14" i="91"/>
  <c r="W13" i="91"/>
  <c r="U13" i="91"/>
  <c r="S13" i="91"/>
  <c r="Q13" i="91"/>
  <c r="O13" i="91"/>
  <c r="M13" i="91"/>
  <c r="E13" i="91"/>
  <c r="W12" i="91"/>
  <c r="U12" i="91"/>
  <c r="S12" i="91"/>
  <c r="Q12" i="91"/>
  <c r="O12" i="91"/>
  <c r="M12" i="91"/>
  <c r="E12" i="91"/>
  <c r="W11" i="91"/>
  <c r="U11" i="91"/>
  <c r="S11" i="91"/>
  <c r="Q11" i="91"/>
  <c r="O11" i="91"/>
  <c r="M11" i="91"/>
  <c r="E11" i="91"/>
  <c r="W10" i="91"/>
  <c r="U10" i="91"/>
  <c r="S10" i="91"/>
  <c r="Q10" i="91"/>
  <c r="O10" i="91"/>
  <c r="M10" i="91"/>
  <c r="E10" i="91"/>
  <c r="W9" i="91"/>
  <c r="U9" i="91"/>
  <c r="S9" i="91"/>
  <c r="Q9" i="91"/>
  <c r="O9" i="91"/>
  <c r="M9" i="91"/>
  <c r="D4" i="91"/>
  <c r="D3" i="91"/>
  <c r="D2" i="91" a="1"/>
  <c r="D2" i="91" s="1"/>
  <c r="W33" i="89"/>
  <c r="U33" i="89"/>
  <c r="S33" i="89"/>
  <c r="Q33" i="89"/>
  <c r="O33" i="89"/>
  <c r="M33" i="89"/>
  <c r="W31" i="89"/>
  <c r="U31" i="89"/>
  <c r="S31" i="89"/>
  <c r="Q31" i="89"/>
  <c r="O31" i="89"/>
  <c r="M31" i="89"/>
  <c r="E31" i="89"/>
  <c r="W30" i="89"/>
  <c r="U30" i="89"/>
  <c r="S30" i="89"/>
  <c r="Q30" i="89"/>
  <c r="O30" i="89"/>
  <c r="M30" i="89"/>
  <c r="E30" i="89"/>
  <c r="W29" i="89"/>
  <c r="U29" i="89"/>
  <c r="S29" i="89"/>
  <c r="Q29" i="89"/>
  <c r="O29" i="89"/>
  <c r="M29" i="89"/>
  <c r="E29" i="89"/>
  <c r="W28" i="89"/>
  <c r="U28" i="89"/>
  <c r="S28" i="89"/>
  <c r="Q28" i="89"/>
  <c r="O28" i="89"/>
  <c r="M28" i="89"/>
  <c r="E28" i="89"/>
  <c r="W27" i="89"/>
  <c r="U27" i="89"/>
  <c r="S27" i="89"/>
  <c r="Q27" i="89"/>
  <c r="O27" i="89"/>
  <c r="M27" i="89"/>
  <c r="E27" i="89"/>
  <c r="W26" i="89"/>
  <c r="U26" i="89"/>
  <c r="S26" i="89"/>
  <c r="Q26" i="89"/>
  <c r="O26" i="89"/>
  <c r="M26" i="89"/>
  <c r="E26" i="89"/>
  <c r="W25" i="89"/>
  <c r="U25" i="89"/>
  <c r="S25" i="89"/>
  <c r="Q25" i="89"/>
  <c r="O25" i="89"/>
  <c r="M25" i="89"/>
  <c r="E25" i="89"/>
  <c r="W24" i="89"/>
  <c r="U24" i="89"/>
  <c r="S24" i="89"/>
  <c r="Q24" i="89"/>
  <c r="O24" i="89"/>
  <c r="M24" i="89"/>
  <c r="E24" i="89"/>
  <c r="W23" i="89"/>
  <c r="U23" i="89"/>
  <c r="S23" i="89"/>
  <c r="Q23" i="89"/>
  <c r="O23" i="89"/>
  <c r="M23" i="89"/>
  <c r="E23" i="89"/>
  <c r="W22" i="89"/>
  <c r="U22" i="89"/>
  <c r="S22" i="89"/>
  <c r="Q22" i="89"/>
  <c r="O22" i="89"/>
  <c r="M22" i="89"/>
  <c r="E22" i="89"/>
  <c r="W21" i="89"/>
  <c r="U21" i="89"/>
  <c r="S21" i="89"/>
  <c r="Q21" i="89"/>
  <c r="O21" i="89"/>
  <c r="M21" i="89"/>
  <c r="E21" i="89"/>
  <c r="W20" i="89"/>
  <c r="U20" i="89"/>
  <c r="S20" i="89"/>
  <c r="Q20" i="89"/>
  <c r="O20" i="89"/>
  <c r="M20" i="89"/>
  <c r="E20" i="89"/>
  <c r="W19" i="89"/>
  <c r="U19" i="89"/>
  <c r="S19" i="89"/>
  <c r="Q19" i="89"/>
  <c r="O19" i="89"/>
  <c r="M19" i="89"/>
  <c r="E19" i="89"/>
  <c r="W18" i="89"/>
  <c r="U18" i="89"/>
  <c r="S18" i="89"/>
  <c r="Q18" i="89"/>
  <c r="O18" i="89"/>
  <c r="M18" i="89"/>
  <c r="E18" i="89"/>
  <c r="W17" i="89"/>
  <c r="U17" i="89"/>
  <c r="S17" i="89"/>
  <c r="Q17" i="89"/>
  <c r="O17" i="89"/>
  <c r="M17" i="89"/>
  <c r="E17" i="89"/>
  <c r="W16" i="89"/>
  <c r="U16" i="89"/>
  <c r="S16" i="89"/>
  <c r="Q16" i="89"/>
  <c r="O16" i="89"/>
  <c r="M16" i="89"/>
  <c r="E16" i="89"/>
  <c r="W15" i="89"/>
  <c r="U15" i="89"/>
  <c r="S15" i="89"/>
  <c r="Q15" i="89"/>
  <c r="O15" i="89"/>
  <c r="M15" i="89"/>
  <c r="E15" i="89"/>
  <c r="W14" i="89"/>
  <c r="U14" i="89"/>
  <c r="S14" i="89"/>
  <c r="Q14" i="89"/>
  <c r="O14" i="89"/>
  <c r="M14" i="89"/>
  <c r="E14" i="89"/>
  <c r="W13" i="89"/>
  <c r="U13" i="89"/>
  <c r="S13" i="89"/>
  <c r="Q13" i="89"/>
  <c r="O13" i="89"/>
  <c r="M13" i="89"/>
  <c r="E13" i="89"/>
  <c r="W12" i="89"/>
  <c r="U12" i="89"/>
  <c r="S12" i="89"/>
  <c r="Q12" i="89"/>
  <c r="O12" i="89"/>
  <c r="M12" i="89"/>
  <c r="E12" i="89"/>
  <c r="W11" i="89"/>
  <c r="U11" i="89"/>
  <c r="S11" i="89"/>
  <c r="Q11" i="89"/>
  <c r="O11" i="89"/>
  <c r="M11" i="89"/>
  <c r="E11" i="89"/>
  <c r="W10" i="89"/>
  <c r="U10" i="89"/>
  <c r="S10" i="89"/>
  <c r="Q10" i="89"/>
  <c r="O10" i="89"/>
  <c r="M10" i="89"/>
  <c r="E10" i="89"/>
  <c r="W9" i="89"/>
  <c r="U9" i="89"/>
  <c r="S9" i="89"/>
  <c r="Q9" i="89"/>
  <c r="O9" i="89"/>
  <c r="M9" i="89"/>
  <c r="D4" i="89"/>
  <c r="D3" i="89"/>
  <c r="D2" i="89" a="1"/>
  <c r="D2" i="89" s="1"/>
  <c r="W33" i="88"/>
  <c r="U33" i="88"/>
  <c r="S33" i="88"/>
  <c r="Q33" i="88"/>
  <c r="O33" i="88"/>
  <c r="M33" i="88"/>
  <c r="W31" i="88"/>
  <c r="U31" i="88"/>
  <c r="S31" i="88"/>
  <c r="Q31" i="88"/>
  <c r="O31" i="88"/>
  <c r="M31" i="88"/>
  <c r="E31" i="88"/>
  <c r="W30" i="88"/>
  <c r="U30" i="88"/>
  <c r="S30" i="88"/>
  <c r="Q30" i="88"/>
  <c r="O30" i="88"/>
  <c r="M30" i="88"/>
  <c r="E30" i="88"/>
  <c r="W29" i="88"/>
  <c r="U29" i="88"/>
  <c r="S29" i="88"/>
  <c r="Q29" i="88"/>
  <c r="O29" i="88"/>
  <c r="M29" i="88"/>
  <c r="E29" i="88"/>
  <c r="W28" i="88"/>
  <c r="U28" i="88"/>
  <c r="S28" i="88"/>
  <c r="Q28" i="88"/>
  <c r="O28" i="88"/>
  <c r="M28" i="88"/>
  <c r="E28" i="88"/>
  <c r="W27" i="88"/>
  <c r="U27" i="88"/>
  <c r="S27" i="88"/>
  <c r="Q27" i="88"/>
  <c r="O27" i="88"/>
  <c r="M27" i="88"/>
  <c r="E27" i="88"/>
  <c r="W26" i="88"/>
  <c r="U26" i="88"/>
  <c r="S26" i="88"/>
  <c r="Q26" i="88"/>
  <c r="O26" i="88"/>
  <c r="M26" i="88"/>
  <c r="E26" i="88"/>
  <c r="W25" i="88"/>
  <c r="U25" i="88"/>
  <c r="S25" i="88"/>
  <c r="Q25" i="88"/>
  <c r="O25" i="88"/>
  <c r="M25" i="88"/>
  <c r="E25" i="88"/>
  <c r="W24" i="88"/>
  <c r="U24" i="88"/>
  <c r="S24" i="88"/>
  <c r="Q24" i="88"/>
  <c r="O24" i="88"/>
  <c r="M24" i="88"/>
  <c r="E24" i="88"/>
  <c r="W23" i="88"/>
  <c r="U23" i="88"/>
  <c r="S23" i="88"/>
  <c r="Q23" i="88"/>
  <c r="O23" i="88"/>
  <c r="M23" i="88"/>
  <c r="E23" i="88"/>
  <c r="W22" i="88"/>
  <c r="U22" i="88"/>
  <c r="S22" i="88"/>
  <c r="Q22" i="88"/>
  <c r="O22" i="88"/>
  <c r="M22" i="88"/>
  <c r="E22" i="88"/>
  <c r="W21" i="88"/>
  <c r="U21" i="88"/>
  <c r="S21" i="88"/>
  <c r="Q21" i="88"/>
  <c r="O21" i="88"/>
  <c r="M21" i="88"/>
  <c r="E21" i="88"/>
  <c r="W20" i="88"/>
  <c r="U20" i="88"/>
  <c r="S20" i="88"/>
  <c r="Q20" i="88"/>
  <c r="O20" i="88"/>
  <c r="M20" i="88"/>
  <c r="E20" i="88"/>
  <c r="W19" i="88"/>
  <c r="U19" i="88"/>
  <c r="S19" i="88"/>
  <c r="Q19" i="88"/>
  <c r="O19" i="88"/>
  <c r="M19" i="88"/>
  <c r="E19" i="88"/>
  <c r="W18" i="88"/>
  <c r="U18" i="88"/>
  <c r="S18" i="88"/>
  <c r="Q18" i="88"/>
  <c r="O18" i="88"/>
  <c r="M18" i="88"/>
  <c r="E18" i="88"/>
  <c r="W17" i="88"/>
  <c r="U17" i="88"/>
  <c r="S17" i="88"/>
  <c r="Q17" i="88"/>
  <c r="O17" i="88"/>
  <c r="M17" i="88"/>
  <c r="E17" i="88"/>
  <c r="W16" i="88"/>
  <c r="U16" i="88"/>
  <c r="S16" i="88"/>
  <c r="Q16" i="88"/>
  <c r="O16" i="88"/>
  <c r="M16" i="88"/>
  <c r="E16" i="88"/>
  <c r="W15" i="88"/>
  <c r="U15" i="88"/>
  <c r="S15" i="88"/>
  <c r="Q15" i="88"/>
  <c r="O15" i="88"/>
  <c r="M15" i="88"/>
  <c r="E15" i="88"/>
  <c r="W14" i="88"/>
  <c r="U14" i="88"/>
  <c r="S14" i="88"/>
  <c r="Q14" i="88"/>
  <c r="O14" i="88"/>
  <c r="M14" i="88"/>
  <c r="E14" i="88"/>
  <c r="W13" i="88"/>
  <c r="U13" i="88"/>
  <c r="S13" i="88"/>
  <c r="Q13" i="88"/>
  <c r="O13" i="88"/>
  <c r="M13" i="88"/>
  <c r="E13" i="88"/>
  <c r="W12" i="88"/>
  <c r="U12" i="88"/>
  <c r="S12" i="88"/>
  <c r="Q12" i="88"/>
  <c r="O12" i="88"/>
  <c r="M12" i="88"/>
  <c r="E12" i="88"/>
  <c r="W11" i="88"/>
  <c r="U11" i="88"/>
  <c r="S11" i="88"/>
  <c r="Q11" i="88"/>
  <c r="O11" i="88"/>
  <c r="M11" i="88"/>
  <c r="E11" i="88"/>
  <c r="W10" i="88"/>
  <c r="U10" i="88"/>
  <c r="S10" i="88"/>
  <c r="Q10" i="88"/>
  <c r="O10" i="88"/>
  <c r="M10" i="88"/>
  <c r="E10" i="88"/>
  <c r="W9" i="88"/>
  <c r="U9" i="88"/>
  <c r="S9" i="88"/>
  <c r="Q9" i="88"/>
  <c r="O9" i="88"/>
  <c r="M9" i="88"/>
  <c r="D4" i="88"/>
  <c r="D3" i="88"/>
  <c r="D2" i="88" a="1"/>
  <c r="D2" i="88" s="1"/>
  <c r="M36" i="93" l="1"/>
  <c r="M37" i="93" s="1"/>
  <c r="O36" i="93"/>
  <c r="O37" i="93" s="1"/>
  <c r="S36" i="93"/>
  <c r="S37" i="93" s="1"/>
  <c r="U36" i="93"/>
  <c r="U37" i="93" s="1"/>
  <c r="Q36" i="93"/>
  <c r="Q37" i="93" s="1"/>
  <c r="W36" i="93"/>
  <c r="W37" i="93" s="1"/>
  <c r="M36" i="92"/>
  <c r="M37" i="92" s="1"/>
  <c r="Q36" i="92"/>
  <c r="Q37" i="92" s="1"/>
  <c r="U36" i="92"/>
  <c r="U37" i="92" s="1"/>
  <c r="O36" i="92"/>
  <c r="O37" i="92" s="1"/>
  <c r="S36" i="92"/>
  <c r="S37" i="92" s="1"/>
  <c r="W36" i="92"/>
  <c r="W37" i="92" s="1"/>
  <c r="W32" i="91"/>
  <c r="O32" i="91"/>
  <c r="O34" i="91" s="1"/>
  <c r="O35" i="91" s="1"/>
  <c r="Q32" i="91"/>
  <c r="U32" i="91"/>
  <c r="U34" i="91" s="1"/>
  <c r="U35" i="91" s="1"/>
  <c r="S32" i="91"/>
  <c r="S34" i="91" s="1"/>
  <c r="S35" i="91" s="1"/>
  <c r="M32" i="91"/>
  <c r="M34" i="91" s="1"/>
  <c r="M35" i="91" s="1"/>
  <c r="M32" i="88"/>
  <c r="M34" i="88" s="1"/>
  <c r="M35" i="88" s="1"/>
  <c r="Q34" i="91"/>
  <c r="W34" i="91"/>
  <c r="W35" i="91" s="1"/>
  <c r="O32" i="88"/>
  <c r="O34" i="88" s="1"/>
  <c r="O35" i="88" s="1"/>
  <c r="O32" i="89"/>
  <c r="O34" i="89" s="1"/>
  <c r="O35" i="89" s="1"/>
  <c r="S32" i="88"/>
  <c r="S34" i="88" s="1"/>
  <c r="S35" i="88" s="1"/>
  <c r="W32" i="88"/>
  <c r="W34" i="88" s="1"/>
  <c r="W35" i="88" s="1"/>
  <c r="Q32" i="88"/>
  <c r="Q34" i="88" s="1"/>
  <c r="Q35" i="88" s="1"/>
  <c r="U32" i="88"/>
  <c r="U34" i="88" s="1"/>
  <c r="Q32" i="89"/>
  <c r="Q34" i="89" s="1"/>
  <c r="Q35" i="89" s="1"/>
  <c r="M32" i="89"/>
  <c r="M34" i="89" s="1"/>
  <c r="M35" i="89" s="1"/>
  <c r="S32" i="89"/>
  <c r="S34" i="89" s="1"/>
  <c r="W32" i="89"/>
  <c r="W34" i="89" s="1"/>
  <c r="W35" i="89" s="1"/>
  <c r="U32" i="89"/>
  <c r="D2" i="86" a="1"/>
  <c r="D2" i="86" s="1"/>
  <c r="D2" i="85" a="1"/>
  <c r="D2" i="85" s="1"/>
  <c r="D2" i="84" a="1"/>
  <c r="D2" i="84" s="1"/>
  <c r="D2" i="83" a="1"/>
  <c r="D2" i="83" s="1"/>
  <c r="D2" i="82" a="1"/>
  <c r="D2" i="82" s="1"/>
  <c r="D2" i="80" a="1"/>
  <c r="D2" i="80" s="1"/>
  <c r="D2" i="79" a="1"/>
  <c r="D2" i="79" s="1"/>
  <c r="D2" i="78" a="1"/>
  <c r="D2" i="78" s="1"/>
  <c r="D2" i="77" a="1"/>
  <c r="D2" i="77" s="1"/>
  <c r="D2" i="76" a="1"/>
  <c r="D2" i="76" s="1"/>
  <c r="D2" i="75" a="1"/>
  <c r="D2" i="75" s="1"/>
  <c r="D2" i="74" a="1"/>
  <c r="D2" i="74" s="1"/>
  <c r="D2" i="73" a="1"/>
  <c r="D2" i="73" s="1"/>
  <c r="D2" i="72" a="1"/>
  <c r="D2" i="72" s="1"/>
  <c r="D2" i="71" a="1"/>
  <c r="D2" i="71" s="1"/>
  <c r="D2" i="70" a="1"/>
  <c r="D2" i="70" s="1"/>
  <c r="D2" i="69" a="1"/>
  <c r="D2" i="69" s="1"/>
  <c r="D2" i="68" a="1"/>
  <c r="D2" i="68" s="1"/>
  <c r="D2" i="67" a="1"/>
  <c r="D2" i="67" s="1"/>
  <c r="D2" i="66" a="1"/>
  <c r="D2" i="66" s="1"/>
  <c r="D2" i="65" a="1"/>
  <c r="D2" i="65" s="1"/>
  <c r="D2" i="64" a="1"/>
  <c r="D2" i="64" s="1"/>
  <c r="D2" i="63" a="1"/>
  <c r="D2" i="63" s="1"/>
  <c r="D2" i="62" a="1"/>
  <c r="D2" i="62" s="1"/>
  <c r="D2" i="61" a="1"/>
  <c r="D2" i="61" s="1"/>
  <c r="D2" i="60" a="1"/>
  <c r="D2" i="60" s="1"/>
  <c r="D2" i="59" a="1"/>
  <c r="D2" i="59" s="1"/>
  <c r="D2" i="58" a="1"/>
  <c r="D2" i="58" s="1"/>
  <c r="D2" i="57" a="1"/>
  <c r="D2" i="57" s="1"/>
  <c r="D2" i="56" a="1"/>
  <c r="D2" i="56" s="1"/>
  <c r="D2" i="54" a="1"/>
  <c r="D2" i="54" s="1"/>
  <c r="D2" i="53" a="1"/>
  <c r="D2" i="53" s="1"/>
  <c r="D2" i="52" a="1"/>
  <c r="D2" i="52" s="1"/>
  <c r="D2" i="51" a="1"/>
  <c r="D2" i="51" s="1"/>
  <c r="D2" i="50" a="1"/>
  <c r="D2" i="50" s="1"/>
  <c r="D2" i="49" a="1"/>
  <c r="D2" i="49" s="1"/>
  <c r="D2" i="48" a="1"/>
  <c r="D2" i="48" s="1"/>
  <c r="D2" i="47" a="1"/>
  <c r="D2" i="47" s="1"/>
  <c r="D2" i="46" a="1"/>
  <c r="D2" i="46" s="1"/>
  <c r="D2" i="45" a="1"/>
  <c r="D2" i="45" s="1"/>
  <c r="D2" i="44" a="1"/>
  <c r="D2" i="44" s="1"/>
  <c r="D2" i="43" a="1"/>
  <c r="D2" i="43" s="1"/>
  <c r="D2" i="42" a="1"/>
  <c r="D2" i="42" s="1"/>
  <c r="D2" i="41" a="1"/>
  <c r="D2" i="41" s="1"/>
  <c r="D2" i="40" a="1"/>
  <c r="D2" i="40" s="1"/>
  <c r="D2" i="39" a="1"/>
  <c r="D2" i="39" s="1"/>
  <c r="D2" i="38" a="1"/>
  <c r="D2" i="38" s="1"/>
  <c r="D2" i="37" a="1"/>
  <c r="D2" i="37" s="1"/>
  <c r="D2" i="36" a="1"/>
  <c r="D2" i="36" s="1"/>
  <c r="D2" i="35" a="1"/>
  <c r="D2" i="35" s="1"/>
  <c r="D2" i="34" a="1"/>
  <c r="D2" i="34" s="1"/>
  <c r="D2" i="33" a="1"/>
  <c r="D2" i="33" s="1"/>
  <c r="D2" i="32" a="1"/>
  <c r="D2" i="32" s="1"/>
  <c r="D2" i="31" a="1"/>
  <c r="D2" i="31" s="1"/>
  <c r="D2" i="30" a="1"/>
  <c r="D2" i="30" s="1"/>
  <c r="D2" i="29" a="1"/>
  <c r="D2" i="29" s="1"/>
  <c r="D2" i="28" a="1"/>
  <c r="D2" i="28" s="1"/>
  <c r="D2" i="27" a="1"/>
  <c r="D2" i="27" s="1"/>
  <c r="D2" i="26" a="1"/>
  <c r="D2" i="26" s="1"/>
  <c r="D2" i="25" a="1"/>
  <c r="D2" i="25" s="1"/>
  <c r="D2" i="24" a="1"/>
  <c r="D2" i="24" s="1"/>
  <c r="D2" i="23" a="1"/>
  <c r="D2" i="23" s="1"/>
  <c r="D2" i="22" a="1"/>
  <c r="D2" i="22" s="1"/>
  <c r="D2" i="21" a="1"/>
  <c r="D2" i="21" s="1"/>
  <c r="D2" i="20" a="1"/>
  <c r="D2" i="20" s="1"/>
  <c r="D2" i="19" a="1"/>
  <c r="D2" i="19" s="1"/>
  <c r="D2" i="18" a="1"/>
  <c r="D2" i="18" s="1"/>
  <c r="D2" i="17" a="1"/>
  <c r="D2" i="17" s="1"/>
  <c r="D2" i="16" a="1"/>
  <c r="D2" i="16" s="1"/>
  <c r="D2" i="15" a="1"/>
  <c r="D2" i="15" s="1"/>
  <c r="D2" i="14" a="1"/>
  <c r="D2" i="14" s="1"/>
  <c r="D2" i="13" a="1"/>
  <c r="D2" i="13" s="1"/>
  <c r="D2" i="12" a="1"/>
  <c r="D2" i="12" s="1"/>
  <c r="D2" i="11" a="1"/>
  <c r="D2" i="11" s="1"/>
  <c r="D2" i="10" a="1"/>
  <c r="D2" i="10" s="1"/>
  <c r="D2" i="9" a="1"/>
  <c r="D2" i="9" s="1"/>
  <c r="D2" i="8" a="1"/>
  <c r="D2" i="8" s="1"/>
  <c r="D2" i="7" a="1"/>
  <c r="D2" i="7" s="1"/>
  <c r="D2" i="6" a="1"/>
  <c r="D2" i="6" s="1"/>
  <c r="D2" i="5" a="1"/>
  <c r="D2" i="5" s="1"/>
  <c r="D2" i="87" a="1"/>
  <c r="D2" i="87" s="1"/>
  <c r="D4" i="86"/>
  <c r="D4" i="85"/>
  <c r="D4" i="84"/>
  <c r="D4" i="83"/>
  <c r="D4" i="82"/>
  <c r="D4" i="80"/>
  <c r="D4" i="79"/>
  <c r="D4" i="78"/>
  <c r="D4" i="77"/>
  <c r="D4" i="76"/>
  <c r="D4" i="75"/>
  <c r="D4" i="74"/>
  <c r="D4" i="73"/>
  <c r="D4" i="72"/>
  <c r="D4" i="71"/>
  <c r="D4" i="70"/>
  <c r="D4" i="69"/>
  <c r="D4" i="68"/>
  <c r="D4" i="67"/>
  <c r="D4" i="66"/>
  <c r="D4" i="65"/>
  <c r="D4" i="64"/>
  <c r="D4" i="63"/>
  <c r="D4" i="62"/>
  <c r="D4" i="61"/>
  <c r="D4" i="60"/>
  <c r="D4" i="59"/>
  <c r="D4" i="58"/>
  <c r="D4" i="57"/>
  <c r="D4" i="56"/>
  <c r="D4" i="54"/>
  <c r="D4" i="53"/>
  <c r="D4" i="52"/>
  <c r="D4" i="51"/>
  <c r="D4" i="50"/>
  <c r="D4" i="49"/>
  <c r="D4" i="48"/>
  <c r="D4" i="47"/>
  <c r="D4" i="46"/>
  <c r="D4" i="45"/>
  <c r="D4" i="44"/>
  <c r="D4" i="43"/>
  <c r="D4" i="42"/>
  <c r="D4" i="41"/>
  <c r="D4" i="40"/>
  <c r="D4" i="39"/>
  <c r="D4" i="38"/>
  <c r="D4" i="37"/>
  <c r="D4" i="36"/>
  <c r="D4" i="35"/>
  <c r="D4" i="34"/>
  <c r="D4" i="33"/>
  <c r="D4" i="32"/>
  <c r="D4" i="31"/>
  <c r="D4" i="30"/>
  <c r="D4" i="29"/>
  <c r="D4" i="28"/>
  <c r="D4" i="27"/>
  <c r="D4" i="26"/>
  <c r="D4" i="25"/>
  <c r="D4" i="24"/>
  <c r="D4" i="23"/>
  <c r="D4" i="22"/>
  <c r="D4" i="21"/>
  <c r="D4" i="20"/>
  <c r="D4" i="19"/>
  <c r="D4" i="18"/>
  <c r="D4" i="17"/>
  <c r="D4" i="16"/>
  <c r="D4" i="15"/>
  <c r="D4" i="14"/>
  <c r="D4" i="13"/>
  <c r="D4" i="12"/>
  <c r="D4" i="11"/>
  <c r="D4" i="10"/>
  <c r="D4" i="9"/>
  <c r="D4" i="8"/>
  <c r="D4" i="7"/>
  <c r="D4" i="6"/>
  <c r="D4" i="5"/>
  <c r="D4" i="87"/>
  <c r="D3" i="86"/>
  <c r="D3" i="85"/>
  <c r="D3" i="84"/>
  <c r="D3" i="83"/>
  <c r="D3" i="82"/>
  <c r="D3" i="80"/>
  <c r="D3" i="79"/>
  <c r="D3" i="78"/>
  <c r="D3" i="77"/>
  <c r="D3" i="76"/>
  <c r="D3" i="75"/>
  <c r="D3" i="74"/>
  <c r="D3" i="73"/>
  <c r="D3" i="72"/>
  <c r="D3" i="71"/>
  <c r="D3" i="70"/>
  <c r="D3" i="69"/>
  <c r="D3" i="68"/>
  <c r="D3" i="67"/>
  <c r="D3" i="66"/>
  <c r="D3" i="65"/>
  <c r="D3" i="64"/>
  <c r="D3" i="63"/>
  <c r="D3" i="62"/>
  <c r="D3" i="61"/>
  <c r="D3" i="60"/>
  <c r="D3" i="59"/>
  <c r="D3" i="58"/>
  <c r="D3" i="57"/>
  <c r="D3" i="56"/>
  <c r="D3" i="54"/>
  <c r="D3" i="53"/>
  <c r="D3" i="52"/>
  <c r="D3" i="51"/>
  <c r="D3" i="50"/>
  <c r="D3" i="49"/>
  <c r="D3" i="48"/>
  <c r="D3" i="47"/>
  <c r="D3" i="46"/>
  <c r="D3" i="45"/>
  <c r="D3" i="44"/>
  <c r="D3" i="43"/>
  <c r="D3" i="42"/>
  <c r="D3" i="41"/>
  <c r="D3" i="40"/>
  <c r="D3" i="39"/>
  <c r="D3" i="38"/>
  <c r="D3" i="37"/>
  <c r="D3" i="36"/>
  <c r="D3" i="35"/>
  <c r="D3" i="34"/>
  <c r="D3" i="33"/>
  <c r="D3" i="32"/>
  <c r="D3" i="31"/>
  <c r="D3" i="30"/>
  <c r="D3" i="29"/>
  <c r="D3" i="28"/>
  <c r="D3" i="27"/>
  <c r="D3" i="26"/>
  <c r="D3" i="25"/>
  <c r="D3" i="24"/>
  <c r="D3" i="23"/>
  <c r="D3" i="22"/>
  <c r="D3" i="21"/>
  <c r="D3" i="20"/>
  <c r="D3" i="19"/>
  <c r="D3" i="18"/>
  <c r="D3" i="17"/>
  <c r="D3" i="16"/>
  <c r="D3" i="15"/>
  <c r="D3" i="14"/>
  <c r="D3" i="13"/>
  <c r="D3" i="12"/>
  <c r="D3" i="11"/>
  <c r="D3" i="10"/>
  <c r="D3" i="9"/>
  <c r="D3" i="8"/>
  <c r="D3" i="7"/>
  <c r="D3" i="6"/>
  <c r="D3" i="5"/>
  <c r="D3" i="87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12" i="76"/>
  <c r="E13" i="76"/>
  <c r="E14" i="76"/>
  <c r="E15" i="76"/>
  <c r="E16" i="76"/>
  <c r="E17" i="76"/>
  <c r="E18" i="76"/>
  <c r="E19" i="76"/>
  <c r="E20" i="76"/>
  <c r="E21" i="76"/>
  <c r="E22" i="76"/>
  <c r="E23" i="76"/>
  <c r="E24" i="76"/>
  <c r="E25" i="76"/>
  <c r="E26" i="76"/>
  <c r="E27" i="76"/>
  <c r="E28" i="76"/>
  <c r="E29" i="76"/>
  <c r="E30" i="76"/>
  <c r="E31" i="76"/>
  <c r="E12" i="75"/>
  <c r="E13" i="75"/>
  <c r="E14" i="75"/>
  <c r="E15" i="75"/>
  <c r="E16" i="75"/>
  <c r="E17" i="75"/>
  <c r="E18" i="75"/>
  <c r="E19" i="75"/>
  <c r="E20" i="75"/>
  <c r="E21" i="75"/>
  <c r="E22" i="75"/>
  <c r="E23" i="75"/>
  <c r="E24" i="75"/>
  <c r="E25" i="75"/>
  <c r="E26" i="75"/>
  <c r="E27" i="75"/>
  <c r="E28" i="75"/>
  <c r="E29" i="75"/>
  <c r="E30" i="75"/>
  <c r="E31" i="75"/>
  <c r="E12" i="74"/>
  <c r="E13" i="74"/>
  <c r="E14" i="74"/>
  <c r="E15" i="74"/>
  <c r="E16" i="74"/>
  <c r="E17" i="74"/>
  <c r="E18" i="74"/>
  <c r="E19" i="74"/>
  <c r="E20" i="74"/>
  <c r="E21" i="74"/>
  <c r="E22" i="74"/>
  <c r="E23" i="74"/>
  <c r="E24" i="74"/>
  <c r="E25" i="74"/>
  <c r="E26" i="74"/>
  <c r="E27" i="74"/>
  <c r="E28" i="74"/>
  <c r="E29" i="74"/>
  <c r="E30" i="74"/>
  <c r="E31" i="74"/>
  <c r="E12" i="73"/>
  <c r="E13" i="73"/>
  <c r="E14" i="73"/>
  <c r="E15" i="73"/>
  <c r="E16" i="73"/>
  <c r="E17" i="73"/>
  <c r="E18" i="73"/>
  <c r="E19" i="73"/>
  <c r="E20" i="73"/>
  <c r="E21" i="73"/>
  <c r="E22" i="73"/>
  <c r="E23" i="73"/>
  <c r="E24" i="73"/>
  <c r="E25" i="73"/>
  <c r="E26" i="73"/>
  <c r="E27" i="73"/>
  <c r="E28" i="73"/>
  <c r="E29" i="73"/>
  <c r="E30" i="73"/>
  <c r="E31" i="73"/>
  <c r="E12" i="72"/>
  <c r="E13" i="72"/>
  <c r="E14" i="72"/>
  <c r="E15" i="72"/>
  <c r="E16" i="72"/>
  <c r="E17" i="72"/>
  <c r="E18" i="72"/>
  <c r="E19" i="72"/>
  <c r="E20" i="72"/>
  <c r="E21" i="72"/>
  <c r="E22" i="72"/>
  <c r="E23" i="72"/>
  <c r="E24" i="72"/>
  <c r="E25" i="72"/>
  <c r="E26" i="72"/>
  <c r="E27" i="72"/>
  <c r="E28" i="72"/>
  <c r="E29" i="72"/>
  <c r="E30" i="72"/>
  <c r="E31" i="72"/>
  <c r="E12" i="71"/>
  <c r="E13" i="71"/>
  <c r="E14" i="71"/>
  <c r="E15" i="71"/>
  <c r="E16" i="71"/>
  <c r="E17" i="71"/>
  <c r="E18" i="71"/>
  <c r="E19" i="71"/>
  <c r="E20" i="71"/>
  <c r="E21" i="71"/>
  <c r="E22" i="71"/>
  <c r="E23" i="71"/>
  <c r="E24" i="71"/>
  <c r="E25" i="71"/>
  <c r="E26" i="71"/>
  <c r="E27" i="71"/>
  <c r="E28" i="71"/>
  <c r="E29" i="71"/>
  <c r="E30" i="71"/>
  <c r="E31" i="71"/>
  <c r="E12" i="70"/>
  <c r="E13" i="70"/>
  <c r="E14" i="70"/>
  <c r="E15" i="70"/>
  <c r="E16" i="70"/>
  <c r="E17" i="70"/>
  <c r="E18" i="70"/>
  <c r="E19" i="70"/>
  <c r="E20" i="70"/>
  <c r="E21" i="70"/>
  <c r="E22" i="70"/>
  <c r="E23" i="70"/>
  <c r="E24" i="70"/>
  <c r="E25" i="70"/>
  <c r="E26" i="70"/>
  <c r="E27" i="70"/>
  <c r="E28" i="70"/>
  <c r="E29" i="70"/>
  <c r="E30" i="70"/>
  <c r="E31" i="70"/>
  <c r="E12" i="69"/>
  <c r="E13" i="69"/>
  <c r="E14" i="69"/>
  <c r="E15" i="69"/>
  <c r="E16" i="69"/>
  <c r="E17" i="69"/>
  <c r="E18" i="69"/>
  <c r="E19" i="69"/>
  <c r="E20" i="69"/>
  <c r="E21" i="69"/>
  <c r="E22" i="69"/>
  <c r="E23" i="69"/>
  <c r="E24" i="69"/>
  <c r="E25" i="69"/>
  <c r="E26" i="69"/>
  <c r="E27" i="69"/>
  <c r="E28" i="69"/>
  <c r="E29" i="69"/>
  <c r="E30" i="69"/>
  <c r="E31" i="69"/>
  <c r="E12" i="68"/>
  <c r="E13" i="68"/>
  <c r="E14" i="68"/>
  <c r="E15" i="68"/>
  <c r="E16" i="68"/>
  <c r="E17" i="68"/>
  <c r="E18" i="68"/>
  <c r="E19" i="68"/>
  <c r="E20" i="68"/>
  <c r="E21" i="68"/>
  <c r="E22" i="68"/>
  <c r="E23" i="68"/>
  <c r="E24" i="68"/>
  <c r="E25" i="68"/>
  <c r="E26" i="68"/>
  <c r="E27" i="68"/>
  <c r="E28" i="68"/>
  <c r="E29" i="68"/>
  <c r="E30" i="68"/>
  <c r="E31" i="68"/>
  <c r="E12" i="67"/>
  <c r="E13" i="67"/>
  <c r="E14" i="67"/>
  <c r="E15" i="67"/>
  <c r="E16" i="67"/>
  <c r="E17" i="67"/>
  <c r="E18" i="67"/>
  <c r="E19" i="67"/>
  <c r="E20" i="67"/>
  <c r="E21" i="67"/>
  <c r="E22" i="67"/>
  <c r="E23" i="67"/>
  <c r="E24" i="67"/>
  <c r="E25" i="67"/>
  <c r="E26" i="67"/>
  <c r="E27" i="67"/>
  <c r="E28" i="67"/>
  <c r="E29" i="67"/>
  <c r="E30" i="67"/>
  <c r="E31" i="67"/>
  <c r="E12" i="66"/>
  <c r="E13" i="66"/>
  <c r="E14" i="66"/>
  <c r="E15" i="66"/>
  <c r="E16" i="66"/>
  <c r="E17" i="66"/>
  <c r="E18" i="66"/>
  <c r="E19" i="66"/>
  <c r="E20" i="66"/>
  <c r="E21" i="66"/>
  <c r="E22" i="66"/>
  <c r="E23" i="66"/>
  <c r="E24" i="66"/>
  <c r="E25" i="66"/>
  <c r="E26" i="66"/>
  <c r="E27" i="66"/>
  <c r="E28" i="66"/>
  <c r="E29" i="66"/>
  <c r="E30" i="66"/>
  <c r="E31" i="66"/>
  <c r="E12" i="65"/>
  <c r="E13" i="65"/>
  <c r="E14" i="65"/>
  <c r="E15" i="65"/>
  <c r="E16" i="65"/>
  <c r="E17" i="65"/>
  <c r="E18" i="65"/>
  <c r="E19" i="65"/>
  <c r="E20" i="65"/>
  <c r="E21" i="65"/>
  <c r="E22" i="65"/>
  <c r="E23" i="65"/>
  <c r="E24" i="65"/>
  <c r="E25" i="65"/>
  <c r="E26" i="65"/>
  <c r="E27" i="65"/>
  <c r="E28" i="65"/>
  <c r="E29" i="65"/>
  <c r="E30" i="65"/>
  <c r="E31" i="65"/>
  <c r="E12" i="64"/>
  <c r="E13" i="64"/>
  <c r="E14" i="64"/>
  <c r="E15" i="64"/>
  <c r="E16" i="64"/>
  <c r="E17" i="64"/>
  <c r="E18" i="64"/>
  <c r="E19" i="64"/>
  <c r="E20" i="64"/>
  <c r="E21" i="64"/>
  <c r="E22" i="64"/>
  <c r="E23" i="64"/>
  <c r="E24" i="64"/>
  <c r="E25" i="64"/>
  <c r="E26" i="64"/>
  <c r="E27" i="64"/>
  <c r="E28" i="64"/>
  <c r="E29" i="64"/>
  <c r="E30" i="64"/>
  <c r="E31" i="64"/>
  <c r="E12" i="63"/>
  <c r="E13" i="63"/>
  <c r="E14" i="63"/>
  <c r="E15" i="63"/>
  <c r="E16" i="63"/>
  <c r="E17" i="63"/>
  <c r="E18" i="63"/>
  <c r="E19" i="63"/>
  <c r="E20" i="63"/>
  <c r="E21" i="63"/>
  <c r="E22" i="63"/>
  <c r="E23" i="63"/>
  <c r="E24" i="63"/>
  <c r="E25" i="63"/>
  <c r="E26" i="63"/>
  <c r="E27" i="63"/>
  <c r="E28" i="63"/>
  <c r="E29" i="63"/>
  <c r="E30" i="63"/>
  <c r="E31" i="63"/>
  <c r="E12" i="62"/>
  <c r="E13" i="62"/>
  <c r="E14" i="62"/>
  <c r="E15" i="62"/>
  <c r="E16" i="62"/>
  <c r="E17" i="62"/>
  <c r="E18" i="62"/>
  <c r="E19" i="62"/>
  <c r="E20" i="62"/>
  <c r="E21" i="62"/>
  <c r="E22" i="62"/>
  <c r="E23" i="62"/>
  <c r="E24" i="62"/>
  <c r="E25" i="62"/>
  <c r="E26" i="62"/>
  <c r="E27" i="62"/>
  <c r="E28" i="62"/>
  <c r="E29" i="62"/>
  <c r="E30" i="62"/>
  <c r="E31" i="62"/>
  <c r="E12" i="61"/>
  <c r="E13" i="61"/>
  <c r="E14" i="61"/>
  <c r="E15" i="61"/>
  <c r="E16" i="61"/>
  <c r="E17" i="61"/>
  <c r="E18" i="61"/>
  <c r="E19" i="61"/>
  <c r="E20" i="61"/>
  <c r="E21" i="61"/>
  <c r="E22" i="61"/>
  <c r="E23" i="61"/>
  <c r="E24" i="61"/>
  <c r="E25" i="61"/>
  <c r="E26" i="61"/>
  <c r="E27" i="61"/>
  <c r="E28" i="61"/>
  <c r="E29" i="61"/>
  <c r="E30" i="61"/>
  <c r="E31" i="61"/>
  <c r="E12" i="60"/>
  <c r="E13" i="60"/>
  <c r="E14" i="60"/>
  <c r="E15" i="60"/>
  <c r="E16" i="60"/>
  <c r="E17" i="60"/>
  <c r="E18" i="60"/>
  <c r="E19" i="60"/>
  <c r="E20" i="60"/>
  <c r="E21" i="60"/>
  <c r="E22" i="60"/>
  <c r="E23" i="60"/>
  <c r="E24" i="60"/>
  <c r="E25" i="60"/>
  <c r="E26" i="60"/>
  <c r="E27" i="60"/>
  <c r="E28" i="60"/>
  <c r="E29" i="60"/>
  <c r="E30" i="60"/>
  <c r="E31" i="60"/>
  <c r="E12" i="59"/>
  <c r="E13" i="59"/>
  <c r="E14" i="59"/>
  <c r="E15" i="59"/>
  <c r="E16" i="59"/>
  <c r="E17" i="59"/>
  <c r="E18" i="59"/>
  <c r="E19" i="59"/>
  <c r="E20" i="59"/>
  <c r="E21" i="59"/>
  <c r="E22" i="59"/>
  <c r="E23" i="59"/>
  <c r="E24" i="59"/>
  <c r="E25" i="59"/>
  <c r="E26" i="59"/>
  <c r="E27" i="59"/>
  <c r="E28" i="59"/>
  <c r="E29" i="59"/>
  <c r="E30" i="59"/>
  <c r="E31" i="59"/>
  <c r="E12" i="58"/>
  <c r="E13" i="58"/>
  <c r="E14" i="58"/>
  <c r="E15" i="58"/>
  <c r="E16" i="58"/>
  <c r="E17" i="58"/>
  <c r="E18" i="58"/>
  <c r="E19" i="58"/>
  <c r="E20" i="58"/>
  <c r="E21" i="58"/>
  <c r="E22" i="58"/>
  <c r="E23" i="58"/>
  <c r="E24" i="58"/>
  <c r="E25" i="58"/>
  <c r="E26" i="58"/>
  <c r="E27" i="58"/>
  <c r="E28" i="58"/>
  <c r="E29" i="58"/>
  <c r="E30" i="58"/>
  <c r="E31" i="58"/>
  <c r="E12" i="57"/>
  <c r="E13" i="57"/>
  <c r="E14" i="57"/>
  <c r="E15" i="57"/>
  <c r="E16" i="57"/>
  <c r="E17" i="57"/>
  <c r="E18" i="57"/>
  <c r="E19" i="57"/>
  <c r="E20" i="57"/>
  <c r="E21" i="57"/>
  <c r="E22" i="57"/>
  <c r="E23" i="57"/>
  <c r="E24" i="57"/>
  <c r="E25" i="57"/>
  <c r="E26" i="57"/>
  <c r="E27" i="57"/>
  <c r="E28" i="57"/>
  <c r="E29" i="57"/>
  <c r="E30" i="57"/>
  <c r="E31" i="57"/>
  <c r="E12" i="56"/>
  <c r="E13" i="56"/>
  <c r="E14" i="56"/>
  <c r="E15" i="56"/>
  <c r="E16" i="56"/>
  <c r="E17" i="56"/>
  <c r="E18" i="56"/>
  <c r="E19" i="56"/>
  <c r="E20" i="56"/>
  <c r="E21" i="56"/>
  <c r="E22" i="56"/>
  <c r="E23" i="56"/>
  <c r="E24" i="56"/>
  <c r="E25" i="56"/>
  <c r="E26" i="56"/>
  <c r="E27" i="56"/>
  <c r="E28" i="56"/>
  <c r="E29" i="56"/>
  <c r="E30" i="56"/>
  <c r="E31" i="56"/>
  <c r="E12" i="54"/>
  <c r="E13" i="54"/>
  <c r="E14" i="54"/>
  <c r="E15" i="54"/>
  <c r="E16" i="54"/>
  <c r="E17" i="54"/>
  <c r="E18" i="54"/>
  <c r="E19" i="54"/>
  <c r="E20" i="54"/>
  <c r="E21" i="54"/>
  <c r="E22" i="54"/>
  <c r="E23" i="54"/>
  <c r="E24" i="54"/>
  <c r="E25" i="54"/>
  <c r="E26" i="54"/>
  <c r="E27" i="54"/>
  <c r="E28" i="54"/>
  <c r="E29" i="54"/>
  <c r="E30" i="54"/>
  <c r="E31" i="54"/>
  <c r="E12" i="53"/>
  <c r="E13" i="53"/>
  <c r="E14" i="53"/>
  <c r="E15" i="53"/>
  <c r="E16" i="53"/>
  <c r="E17" i="53"/>
  <c r="E18" i="53"/>
  <c r="E19" i="53"/>
  <c r="E20" i="53"/>
  <c r="E21" i="53"/>
  <c r="E22" i="53"/>
  <c r="E23" i="53"/>
  <c r="E24" i="53"/>
  <c r="E25" i="53"/>
  <c r="E26" i="53"/>
  <c r="E27" i="53"/>
  <c r="E28" i="53"/>
  <c r="E29" i="53"/>
  <c r="E30" i="53"/>
  <c r="E31" i="53"/>
  <c r="E12" i="52"/>
  <c r="E13" i="52"/>
  <c r="E14" i="52"/>
  <c r="E15" i="52"/>
  <c r="E16" i="52"/>
  <c r="E17" i="52"/>
  <c r="E18" i="52"/>
  <c r="E19" i="52"/>
  <c r="E20" i="52"/>
  <c r="E21" i="52"/>
  <c r="E22" i="52"/>
  <c r="E23" i="52"/>
  <c r="E24" i="52"/>
  <c r="E25" i="52"/>
  <c r="E26" i="52"/>
  <c r="E27" i="52"/>
  <c r="E28" i="52"/>
  <c r="E29" i="52"/>
  <c r="E30" i="52"/>
  <c r="E31" i="52"/>
  <c r="E12" i="51"/>
  <c r="E13" i="51"/>
  <c r="E14" i="51"/>
  <c r="E15" i="51"/>
  <c r="E16" i="51"/>
  <c r="E17" i="51"/>
  <c r="E18" i="51"/>
  <c r="E19" i="51"/>
  <c r="E20" i="51"/>
  <c r="E21" i="51"/>
  <c r="E22" i="51"/>
  <c r="E23" i="51"/>
  <c r="E24" i="51"/>
  <c r="E25" i="51"/>
  <c r="E26" i="51"/>
  <c r="E27" i="51"/>
  <c r="E28" i="51"/>
  <c r="E29" i="51"/>
  <c r="E30" i="51"/>
  <c r="E31" i="51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12" i="42"/>
  <c r="E13" i="42"/>
  <c r="E14" i="42"/>
  <c r="E15" i="42"/>
  <c r="E16" i="42"/>
  <c r="E17" i="42"/>
  <c r="E18" i="42"/>
  <c r="E19" i="42"/>
  <c r="E20" i="42"/>
  <c r="E21" i="42"/>
  <c r="E22" i="42"/>
  <c r="E23" i="42"/>
  <c r="E24" i="42"/>
  <c r="E25" i="42"/>
  <c r="E26" i="42"/>
  <c r="E27" i="42"/>
  <c r="E28" i="42"/>
  <c r="E29" i="42"/>
  <c r="E30" i="42"/>
  <c r="E31" i="42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12" i="39"/>
  <c r="E13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11" i="86"/>
  <c r="E11" i="85"/>
  <c r="E11" i="84"/>
  <c r="E11" i="83"/>
  <c r="E11" i="82"/>
  <c r="E11" i="80"/>
  <c r="E11" i="79"/>
  <c r="E11" i="78"/>
  <c r="E11" i="77"/>
  <c r="E11" i="76"/>
  <c r="E11" i="75"/>
  <c r="E11" i="74"/>
  <c r="E11" i="73"/>
  <c r="E11" i="72"/>
  <c r="E11" i="71"/>
  <c r="E11" i="70"/>
  <c r="E11" i="69"/>
  <c r="E11" i="68"/>
  <c r="E11" i="67"/>
  <c r="E11" i="66"/>
  <c r="E11" i="65"/>
  <c r="E11" i="64"/>
  <c r="E11" i="63"/>
  <c r="E11" i="62"/>
  <c r="E11" i="61"/>
  <c r="E11" i="60"/>
  <c r="E11" i="59"/>
  <c r="E11" i="58"/>
  <c r="E11" i="57"/>
  <c r="E11" i="56"/>
  <c r="E11" i="54"/>
  <c r="E11" i="53"/>
  <c r="E11" i="52"/>
  <c r="E11" i="51"/>
  <c r="E11" i="50"/>
  <c r="E11" i="49"/>
  <c r="E11" i="48"/>
  <c r="E11" i="47"/>
  <c r="E11" i="46"/>
  <c r="E11" i="45"/>
  <c r="E11" i="44"/>
  <c r="E11" i="43"/>
  <c r="E11" i="42"/>
  <c r="E11" i="41"/>
  <c r="E11" i="40"/>
  <c r="E11" i="39"/>
  <c r="E11" i="38"/>
  <c r="E11" i="37"/>
  <c r="E11" i="36"/>
  <c r="E11" i="35"/>
  <c r="E11" i="34"/>
  <c r="E11" i="33"/>
  <c r="E11" i="32"/>
  <c r="E11" i="31"/>
  <c r="E11" i="30"/>
  <c r="E11" i="29"/>
  <c r="E11" i="28"/>
  <c r="E11" i="27"/>
  <c r="E11" i="26"/>
  <c r="E11" i="25"/>
  <c r="E11" i="24"/>
  <c r="E11" i="23"/>
  <c r="E11" i="22"/>
  <c r="E11" i="21"/>
  <c r="E11" i="20"/>
  <c r="E11" i="19"/>
  <c r="E11" i="18"/>
  <c r="E11" i="17"/>
  <c r="E11" i="16"/>
  <c r="E11" i="15"/>
  <c r="E11" i="14"/>
  <c r="E11" i="13"/>
  <c r="E11" i="12"/>
  <c r="E11" i="11"/>
  <c r="E11" i="10"/>
  <c r="E11" i="9"/>
  <c r="E11" i="8"/>
  <c r="E11" i="7"/>
  <c r="E11" i="6"/>
  <c r="E11" i="5"/>
  <c r="E11" i="87"/>
  <c r="E10" i="86"/>
  <c r="E10" i="85"/>
  <c r="E10" i="84"/>
  <c r="E10" i="83"/>
  <c r="E10" i="82"/>
  <c r="E10" i="80"/>
  <c r="E10" i="79"/>
  <c r="E10" i="78"/>
  <c r="E10" i="77"/>
  <c r="E10" i="76"/>
  <c r="E10" i="75"/>
  <c r="E10" i="74"/>
  <c r="E10" i="73"/>
  <c r="E10" i="72"/>
  <c r="E10" i="71"/>
  <c r="E10" i="70"/>
  <c r="E10" i="69"/>
  <c r="E10" i="68"/>
  <c r="E10" i="67"/>
  <c r="E10" i="66"/>
  <c r="E10" i="65"/>
  <c r="E10" i="64"/>
  <c r="E10" i="63"/>
  <c r="E10" i="62"/>
  <c r="E10" i="61"/>
  <c r="E10" i="60"/>
  <c r="E10" i="59"/>
  <c r="E10" i="58"/>
  <c r="E10" i="57"/>
  <c r="E10" i="56"/>
  <c r="E10" i="54"/>
  <c r="E10" i="53"/>
  <c r="E10" i="52"/>
  <c r="E10" i="51"/>
  <c r="E10" i="50"/>
  <c r="E10" i="49"/>
  <c r="E10" i="48"/>
  <c r="E10" i="47"/>
  <c r="E10" i="46"/>
  <c r="E10" i="45"/>
  <c r="E10" i="44"/>
  <c r="E10" i="43"/>
  <c r="E10" i="42"/>
  <c r="E10" i="41"/>
  <c r="E10" i="40"/>
  <c r="E10" i="39"/>
  <c r="E10" i="38"/>
  <c r="E10" i="37"/>
  <c r="E10" i="36"/>
  <c r="E10" i="35"/>
  <c r="E10" i="34"/>
  <c r="E10" i="33"/>
  <c r="E10" i="32"/>
  <c r="E10" i="31"/>
  <c r="E10" i="30"/>
  <c r="E10" i="29"/>
  <c r="E10" i="28"/>
  <c r="E10" i="27"/>
  <c r="E10" i="26"/>
  <c r="E10" i="25"/>
  <c r="E10" i="24"/>
  <c r="E10" i="23"/>
  <c r="E10" i="22"/>
  <c r="E10" i="21"/>
  <c r="E10" i="20"/>
  <c r="E10" i="19"/>
  <c r="E10" i="18"/>
  <c r="E10" i="17"/>
  <c r="E10" i="16"/>
  <c r="E10" i="15"/>
  <c r="E10" i="14"/>
  <c r="E10" i="13"/>
  <c r="E10" i="12"/>
  <c r="E10" i="11"/>
  <c r="E10" i="10"/>
  <c r="E10" i="9"/>
  <c r="E10" i="8"/>
  <c r="E10" i="7"/>
  <c r="E10" i="6"/>
  <c r="E10" i="5"/>
  <c r="E10" i="87"/>
  <c r="Q35" i="91" l="1"/>
  <c r="D9" i="91" s="1" a="1"/>
  <c r="D9" i="91" s="1"/>
  <c r="U35" i="88"/>
  <c r="U34" i="89"/>
  <c r="U35" i="89" s="1"/>
  <c r="S35" i="89"/>
  <c r="D9" i="89" s="1" a="1"/>
  <c r="D9" i="89" s="1"/>
  <c r="W33" i="87"/>
  <c r="U33" i="87"/>
  <c r="S33" i="87"/>
  <c r="Q33" i="87"/>
  <c r="O33" i="87"/>
  <c r="M33" i="87"/>
  <c r="W31" i="87"/>
  <c r="U31" i="87"/>
  <c r="S31" i="87"/>
  <c r="Q31" i="87"/>
  <c r="O31" i="87"/>
  <c r="M31" i="87"/>
  <c r="W30" i="87"/>
  <c r="U30" i="87"/>
  <c r="S30" i="87"/>
  <c r="Q30" i="87"/>
  <c r="O30" i="87"/>
  <c r="M30" i="87"/>
  <c r="W29" i="87"/>
  <c r="U29" i="87"/>
  <c r="S29" i="87"/>
  <c r="Q29" i="87"/>
  <c r="O29" i="87"/>
  <c r="M29" i="87"/>
  <c r="W28" i="87"/>
  <c r="U28" i="87"/>
  <c r="S28" i="87"/>
  <c r="Q28" i="87"/>
  <c r="O28" i="87"/>
  <c r="M28" i="87"/>
  <c r="W27" i="87"/>
  <c r="U27" i="87"/>
  <c r="S27" i="87"/>
  <c r="Q27" i="87"/>
  <c r="O27" i="87"/>
  <c r="M27" i="87"/>
  <c r="W26" i="87"/>
  <c r="U26" i="87"/>
  <c r="S26" i="87"/>
  <c r="Q26" i="87"/>
  <c r="O26" i="87"/>
  <c r="M26" i="87"/>
  <c r="W25" i="87"/>
  <c r="U25" i="87"/>
  <c r="S25" i="87"/>
  <c r="Q25" i="87"/>
  <c r="O25" i="87"/>
  <c r="M25" i="87"/>
  <c r="W24" i="87"/>
  <c r="U24" i="87"/>
  <c r="S24" i="87"/>
  <c r="Q24" i="87"/>
  <c r="O24" i="87"/>
  <c r="M24" i="87"/>
  <c r="W23" i="87"/>
  <c r="U23" i="87"/>
  <c r="S23" i="87"/>
  <c r="Q23" i="87"/>
  <c r="O23" i="87"/>
  <c r="M23" i="87"/>
  <c r="W22" i="87"/>
  <c r="U22" i="87"/>
  <c r="S22" i="87"/>
  <c r="Q22" i="87"/>
  <c r="O22" i="87"/>
  <c r="M22" i="87"/>
  <c r="W21" i="87"/>
  <c r="U21" i="87"/>
  <c r="S21" i="87"/>
  <c r="Q21" i="87"/>
  <c r="O21" i="87"/>
  <c r="M21" i="87"/>
  <c r="W20" i="87"/>
  <c r="U20" i="87"/>
  <c r="S20" i="87"/>
  <c r="Q20" i="87"/>
  <c r="O20" i="87"/>
  <c r="M20" i="87"/>
  <c r="W19" i="87"/>
  <c r="U19" i="87"/>
  <c r="S19" i="87"/>
  <c r="Q19" i="87"/>
  <c r="O19" i="87"/>
  <c r="M19" i="87"/>
  <c r="W18" i="87"/>
  <c r="U18" i="87"/>
  <c r="S18" i="87"/>
  <c r="Q18" i="87"/>
  <c r="O18" i="87"/>
  <c r="M18" i="87"/>
  <c r="W17" i="87"/>
  <c r="U17" i="87"/>
  <c r="S17" i="87"/>
  <c r="Q17" i="87"/>
  <c r="O17" i="87"/>
  <c r="M17" i="87"/>
  <c r="W16" i="87"/>
  <c r="U16" i="87"/>
  <c r="S16" i="87"/>
  <c r="Q16" i="87"/>
  <c r="O16" i="87"/>
  <c r="M16" i="87"/>
  <c r="W15" i="87"/>
  <c r="U15" i="87"/>
  <c r="S15" i="87"/>
  <c r="Q15" i="87"/>
  <c r="O15" i="87"/>
  <c r="M15" i="87"/>
  <c r="W14" i="87"/>
  <c r="U14" i="87"/>
  <c r="S14" i="87"/>
  <c r="Q14" i="87"/>
  <c r="O14" i="87"/>
  <c r="M14" i="87"/>
  <c r="W13" i="87"/>
  <c r="U13" i="87"/>
  <c r="S13" i="87"/>
  <c r="Q13" i="87"/>
  <c r="O13" i="87"/>
  <c r="M13" i="87"/>
  <c r="W12" i="87"/>
  <c r="U12" i="87"/>
  <c r="S12" i="87"/>
  <c r="Q12" i="87"/>
  <c r="O12" i="87"/>
  <c r="M12" i="87"/>
  <c r="W11" i="87"/>
  <c r="U11" i="87"/>
  <c r="S11" i="87"/>
  <c r="Q11" i="87"/>
  <c r="O11" i="87"/>
  <c r="M11" i="87"/>
  <c r="W10" i="87"/>
  <c r="U10" i="87"/>
  <c r="S10" i="87"/>
  <c r="Q10" i="87"/>
  <c r="O10" i="87"/>
  <c r="M10" i="87"/>
  <c r="W9" i="87"/>
  <c r="U9" i="87"/>
  <c r="S9" i="87"/>
  <c r="Q9" i="87"/>
  <c r="O9" i="87"/>
  <c r="M9" i="87"/>
  <c r="W33" i="86"/>
  <c r="U33" i="86"/>
  <c r="S33" i="86"/>
  <c r="Q33" i="86"/>
  <c r="O33" i="86"/>
  <c r="M33" i="86"/>
  <c r="W31" i="86"/>
  <c r="U31" i="86"/>
  <c r="S31" i="86"/>
  <c r="Q31" i="86"/>
  <c r="O31" i="86"/>
  <c r="M31" i="86"/>
  <c r="W30" i="86"/>
  <c r="U30" i="86"/>
  <c r="S30" i="86"/>
  <c r="Q30" i="86"/>
  <c r="O30" i="86"/>
  <c r="M30" i="86"/>
  <c r="W29" i="86"/>
  <c r="U29" i="86"/>
  <c r="S29" i="86"/>
  <c r="Q29" i="86"/>
  <c r="O29" i="86"/>
  <c r="M29" i="86"/>
  <c r="W28" i="86"/>
  <c r="U28" i="86"/>
  <c r="S28" i="86"/>
  <c r="Q28" i="86"/>
  <c r="O28" i="86"/>
  <c r="M28" i="86"/>
  <c r="W27" i="86"/>
  <c r="U27" i="86"/>
  <c r="S27" i="86"/>
  <c r="Q27" i="86"/>
  <c r="O27" i="86"/>
  <c r="M27" i="86"/>
  <c r="W26" i="86"/>
  <c r="U26" i="86"/>
  <c r="S26" i="86"/>
  <c r="Q26" i="86"/>
  <c r="O26" i="86"/>
  <c r="M26" i="86"/>
  <c r="W25" i="86"/>
  <c r="U25" i="86"/>
  <c r="S25" i="86"/>
  <c r="Q25" i="86"/>
  <c r="O25" i="86"/>
  <c r="M25" i="86"/>
  <c r="W24" i="86"/>
  <c r="U24" i="86"/>
  <c r="S24" i="86"/>
  <c r="Q24" i="86"/>
  <c r="O24" i="86"/>
  <c r="M24" i="86"/>
  <c r="W23" i="86"/>
  <c r="U23" i="86"/>
  <c r="S23" i="86"/>
  <c r="Q23" i="86"/>
  <c r="O23" i="86"/>
  <c r="M23" i="86"/>
  <c r="W22" i="86"/>
  <c r="U22" i="86"/>
  <c r="S22" i="86"/>
  <c r="Q22" i="86"/>
  <c r="O22" i="86"/>
  <c r="M22" i="86"/>
  <c r="W21" i="86"/>
  <c r="U21" i="86"/>
  <c r="S21" i="86"/>
  <c r="Q21" i="86"/>
  <c r="O21" i="86"/>
  <c r="M21" i="86"/>
  <c r="W20" i="86"/>
  <c r="U20" i="86"/>
  <c r="S20" i="86"/>
  <c r="Q20" i="86"/>
  <c r="O20" i="86"/>
  <c r="M20" i="86"/>
  <c r="W19" i="86"/>
  <c r="U19" i="86"/>
  <c r="S19" i="86"/>
  <c r="Q19" i="86"/>
  <c r="O19" i="86"/>
  <c r="M19" i="86"/>
  <c r="W18" i="86"/>
  <c r="U18" i="86"/>
  <c r="S18" i="86"/>
  <c r="Q18" i="86"/>
  <c r="O18" i="86"/>
  <c r="M18" i="86"/>
  <c r="W17" i="86"/>
  <c r="U17" i="86"/>
  <c r="S17" i="86"/>
  <c r="Q17" i="86"/>
  <c r="O17" i="86"/>
  <c r="M17" i="86"/>
  <c r="W16" i="86"/>
  <c r="U16" i="86"/>
  <c r="S16" i="86"/>
  <c r="Q16" i="86"/>
  <c r="O16" i="86"/>
  <c r="M16" i="86"/>
  <c r="W15" i="86"/>
  <c r="U15" i="86"/>
  <c r="S15" i="86"/>
  <c r="Q15" i="86"/>
  <c r="O15" i="86"/>
  <c r="M15" i="86"/>
  <c r="W14" i="86"/>
  <c r="U14" i="86"/>
  <c r="S14" i="86"/>
  <c r="Q14" i="86"/>
  <c r="O14" i="86"/>
  <c r="M14" i="86"/>
  <c r="W13" i="86"/>
  <c r="U13" i="86"/>
  <c r="S13" i="86"/>
  <c r="Q13" i="86"/>
  <c r="O13" i="86"/>
  <c r="M13" i="86"/>
  <c r="W12" i="86"/>
  <c r="U12" i="86"/>
  <c r="S12" i="86"/>
  <c r="Q12" i="86"/>
  <c r="O12" i="86"/>
  <c r="M12" i="86"/>
  <c r="W11" i="86"/>
  <c r="U11" i="86"/>
  <c r="S11" i="86"/>
  <c r="Q11" i="86"/>
  <c r="O11" i="86"/>
  <c r="M11" i="86"/>
  <c r="W10" i="86"/>
  <c r="U10" i="86"/>
  <c r="S10" i="86"/>
  <c r="Q10" i="86"/>
  <c r="O10" i="86"/>
  <c r="M10" i="86"/>
  <c r="W9" i="86"/>
  <c r="U9" i="86"/>
  <c r="S9" i="86"/>
  <c r="Q9" i="86"/>
  <c r="O9" i="86"/>
  <c r="M9" i="86"/>
  <c r="W33" i="85"/>
  <c r="U33" i="85"/>
  <c r="S33" i="85"/>
  <c r="Q33" i="85"/>
  <c r="O33" i="85"/>
  <c r="M33" i="85"/>
  <c r="W31" i="85"/>
  <c r="U31" i="85"/>
  <c r="S31" i="85"/>
  <c r="Q31" i="85"/>
  <c r="O31" i="85"/>
  <c r="M31" i="85"/>
  <c r="W30" i="85"/>
  <c r="U30" i="85"/>
  <c r="S30" i="85"/>
  <c r="Q30" i="85"/>
  <c r="O30" i="85"/>
  <c r="M30" i="85"/>
  <c r="W29" i="85"/>
  <c r="U29" i="85"/>
  <c r="S29" i="85"/>
  <c r="Q29" i="85"/>
  <c r="O29" i="85"/>
  <c r="M29" i="85"/>
  <c r="W28" i="85"/>
  <c r="U28" i="85"/>
  <c r="S28" i="85"/>
  <c r="Q28" i="85"/>
  <c r="O28" i="85"/>
  <c r="M28" i="85"/>
  <c r="W27" i="85"/>
  <c r="U27" i="85"/>
  <c r="S27" i="85"/>
  <c r="Q27" i="85"/>
  <c r="O27" i="85"/>
  <c r="M27" i="85"/>
  <c r="W26" i="85"/>
  <c r="U26" i="85"/>
  <c r="S26" i="85"/>
  <c r="Q26" i="85"/>
  <c r="O26" i="85"/>
  <c r="M26" i="85"/>
  <c r="W25" i="85"/>
  <c r="U25" i="85"/>
  <c r="S25" i="85"/>
  <c r="Q25" i="85"/>
  <c r="O25" i="85"/>
  <c r="M25" i="85"/>
  <c r="W24" i="85"/>
  <c r="U24" i="85"/>
  <c r="S24" i="85"/>
  <c r="Q24" i="85"/>
  <c r="O24" i="85"/>
  <c r="M24" i="85"/>
  <c r="W23" i="85"/>
  <c r="U23" i="85"/>
  <c r="S23" i="85"/>
  <c r="Q23" i="85"/>
  <c r="O23" i="85"/>
  <c r="M23" i="85"/>
  <c r="W22" i="85"/>
  <c r="U22" i="85"/>
  <c r="S22" i="85"/>
  <c r="Q22" i="85"/>
  <c r="O22" i="85"/>
  <c r="M22" i="85"/>
  <c r="W21" i="85"/>
  <c r="U21" i="85"/>
  <c r="S21" i="85"/>
  <c r="Q21" i="85"/>
  <c r="O21" i="85"/>
  <c r="M21" i="85"/>
  <c r="W20" i="85"/>
  <c r="U20" i="85"/>
  <c r="S20" i="85"/>
  <c r="Q20" i="85"/>
  <c r="O20" i="85"/>
  <c r="M20" i="85"/>
  <c r="W19" i="85"/>
  <c r="U19" i="85"/>
  <c r="S19" i="85"/>
  <c r="Q19" i="85"/>
  <c r="O19" i="85"/>
  <c r="M19" i="85"/>
  <c r="W18" i="85"/>
  <c r="U18" i="85"/>
  <c r="S18" i="85"/>
  <c r="Q18" i="85"/>
  <c r="O18" i="85"/>
  <c r="M18" i="85"/>
  <c r="W17" i="85"/>
  <c r="U17" i="85"/>
  <c r="S17" i="85"/>
  <c r="Q17" i="85"/>
  <c r="O17" i="85"/>
  <c r="M17" i="85"/>
  <c r="W16" i="85"/>
  <c r="U16" i="85"/>
  <c r="S16" i="85"/>
  <c r="Q16" i="85"/>
  <c r="O16" i="85"/>
  <c r="M16" i="85"/>
  <c r="W15" i="85"/>
  <c r="U15" i="85"/>
  <c r="S15" i="85"/>
  <c r="Q15" i="85"/>
  <c r="O15" i="85"/>
  <c r="M15" i="85"/>
  <c r="W14" i="85"/>
  <c r="U14" i="85"/>
  <c r="S14" i="85"/>
  <c r="Q14" i="85"/>
  <c r="O14" i="85"/>
  <c r="M14" i="85"/>
  <c r="W13" i="85"/>
  <c r="U13" i="85"/>
  <c r="S13" i="85"/>
  <c r="Q13" i="85"/>
  <c r="O13" i="85"/>
  <c r="M13" i="85"/>
  <c r="W12" i="85"/>
  <c r="U12" i="85"/>
  <c r="S12" i="85"/>
  <c r="Q12" i="85"/>
  <c r="O12" i="85"/>
  <c r="M12" i="85"/>
  <c r="W11" i="85"/>
  <c r="U11" i="85"/>
  <c r="S11" i="85"/>
  <c r="Q11" i="85"/>
  <c r="W10" i="85"/>
  <c r="U10" i="85"/>
  <c r="S10" i="85"/>
  <c r="Q10" i="85"/>
  <c r="O10" i="85"/>
  <c r="M10" i="85"/>
  <c r="W9" i="85"/>
  <c r="U9" i="85"/>
  <c r="S9" i="85"/>
  <c r="Q9" i="85"/>
  <c r="O9" i="85"/>
  <c r="M9" i="85"/>
  <c r="W33" i="84"/>
  <c r="U33" i="84"/>
  <c r="S33" i="84"/>
  <c r="Q33" i="84"/>
  <c r="O33" i="84"/>
  <c r="M33" i="84"/>
  <c r="W31" i="84"/>
  <c r="U31" i="84"/>
  <c r="S31" i="84"/>
  <c r="Q31" i="84"/>
  <c r="O31" i="84"/>
  <c r="M31" i="84"/>
  <c r="W30" i="84"/>
  <c r="U30" i="84"/>
  <c r="S30" i="84"/>
  <c r="Q30" i="84"/>
  <c r="O30" i="84"/>
  <c r="M30" i="84"/>
  <c r="W29" i="84"/>
  <c r="U29" i="84"/>
  <c r="S29" i="84"/>
  <c r="Q29" i="84"/>
  <c r="O29" i="84"/>
  <c r="M29" i="84"/>
  <c r="W28" i="84"/>
  <c r="U28" i="84"/>
  <c r="S28" i="84"/>
  <c r="Q28" i="84"/>
  <c r="O28" i="84"/>
  <c r="M28" i="84"/>
  <c r="W27" i="84"/>
  <c r="U27" i="84"/>
  <c r="S27" i="84"/>
  <c r="Q27" i="84"/>
  <c r="O27" i="84"/>
  <c r="M27" i="84"/>
  <c r="W26" i="84"/>
  <c r="U26" i="84"/>
  <c r="S26" i="84"/>
  <c r="Q26" i="84"/>
  <c r="O26" i="84"/>
  <c r="M26" i="84"/>
  <c r="W25" i="84"/>
  <c r="U25" i="84"/>
  <c r="S25" i="84"/>
  <c r="Q25" i="84"/>
  <c r="O25" i="84"/>
  <c r="M25" i="84"/>
  <c r="W24" i="84"/>
  <c r="U24" i="84"/>
  <c r="S24" i="84"/>
  <c r="Q24" i="84"/>
  <c r="O24" i="84"/>
  <c r="M24" i="84"/>
  <c r="W23" i="84"/>
  <c r="U23" i="84"/>
  <c r="S23" i="84"/>
  <c r="Q23" i="84"/>
  <c r="O23" i="84"/>
  <c r="M23" i="84"/>
  <c r="W22" i="84"/>
  <c r="U22" i="84"/>
  <c r="S22" i="84"/>
  <c r="Q22" i="84"/>
  <c r="O22" i="84"/>
  <c r="M22" i="84"/>
  <c r="W21" i="84"/>
  <c r="U21" i="84"/>
  <c r="S21" i="84"/>
  <c r="Q21" i="84"/>
  <c r="O21" i="84"/>
  <c r="M21" i="84"/>
  <c r="W20" i="84"/>
  <c r="U20" i="84"/>
  <c r="S20" i="84"/>
  <c r="Q20" i="84"/>
  <c r="O20" i="84"/>
  <c r="M20" i="84"/>
  <c r="W19" i="84"/>
  <c r="U19" i="84"/>
  <c r="S19" i="84"/>
  <c r="Q19" i="84"/>
  <c r="O19" i="84"/>
  <c r="M19" i="84"/>
  <c r="W18" i="84"/>
  <c r="U18" i="84"/>
  <c r="S18" i="84"/>
  <c r="Q18" i="84"/>
  <c r="O18" i="84"/>
  <c r="M18" i="84"/>
  <c r="W17" i="84"/>
  <c r="U17" i="84"/>
  <c r="S17" i="84"/>
  <c r="Q17" i="84"/>
  <c r="O17" i="84"/>
  <c r="M17" i="84"/>
  <c r="W16" i="84"/>
  <c r="U16" i="84"/>
  <c r="S16" i="84"/>
  <c r="Q16" i="84"/>
  <c r="O16" i="84"/>
  <c r="M16" i="84"/>
  <c r="W15" i="84"/>
  <c r="U15" i="84"/>
  <c r="S15" i="84"/>
  <c r="Q15" i="84"/>
  <c r="O15" i="84"/>
  <c r="M15" i="84"/>
  <c r="W14" i="84"/>
  <c r="U14" i="84"/>
  <c r="S14" i="84"/>
  <c r="Q14" i="84"/>
  <c r="O14" i="84"/>
  <c r="M14" i="84"/>
  <c r="W13" i="84"/>
  <c r="U13" i="84"/>
  <c r="S13" i="84"/>
  <c r="Q13" i="84"/>
  <c r="O13" i="84"/>
  <c r="M13" i="84"/>
  <c r="W12" i="84"/>
  <c r="U12" i="84"/>
  <c r="S12" i="84"/>
  <c r="Q12" i="84"/>
  <c r="O12" i="84"/>
  <c r="M12" i="84"/>
  <c r="W11" i="84"/>
  <c r="U11" i="84"/>
  <c r="S11" i="84"/>
  <c r="Q11" i="84"/>
  <c r="O11" i="84"/>
  <c r="M11" i="84"/>
  <c r="W10" i="84"/>
  <c r="U10" i="84"/>
  <c r="S10" i="84"/>
  <c r="Q10" i="84"/>
  <c r="O10" i="84"/>
  <c r="M10" i="84"/>
  <c r="W9" i="84"/>
  <c r="U9" i="84"/>
  <c r="S9" i="84"/>
  <c r="Q9" i="84"/>
  <c r="O9" i="84"/>
  <c r="M9" i="84"/>
  <c r="W33" i="83"/>
  <c r="U33" i="83"/>
  <c r="S33" i="83"/>
  <c r="Q33" i="83"/>
  <c r="O33" i="83"/>
  <c r="M33" i="83"/>
  <c r="W31" i="83"/>
  <c r="U31" i="83"/>
  <c r="S31" i="83"/>
  <c r="Q31" i="83"/>
  <c r="O31" i="83"/>
  <c r="M31" i="83"/>
  <c r="W30" i="83"/>
  <c r="U30" i="83"/>
  <c r="S30" i="83"/>
  <c r="Q30" i="83"/>
  <c r="O30" i="83"/>
  <c r="M30" i="83"/>
  <c r="W29" i="83"/>
  <c r="U29" i="83"/>
  <c r="S29" i="83"/>
  <c r="Q29" i="83"/>
  <c r="O29" i="83"/>
  <c r="M29" i="83"/>
  <c r="W28" i="83"/>
  <c r="U28" i="83"/>
  <c r="S28" i="83"/>
  <c r="Q28" i="83"/>
  <c r="O28" i="83"/>
  <c r="M28" i="83"/>
  <c r="W27" i="83"/>
  <c r="U27" i="83"/>
  <c r="S27" i="83"/>
  <c r="Q27" i="83"/>
  <c r="O27" i="83"/>
  <c r="M27" i="83"/>
  <c r="W26" i="83"/>
  <c r="U26" i="83"/>
  <c r="S26" i="83"/>
  <c r="Q26" i="83"/>
  <c r="O26" i="83"/>
  <c r="M26" i="83"/>
  <c r="W25" i="83"/>
  <c r="U25" i="83"/>
  <c r="S25" i="83"/>
  <c r="Q25" i="83"/>
  <c r="O25" i="83"/>
  <c r="M25" i="83"/>
  <c r="W24" i="83"/>
  <c r="U24" i="83"/>
  <c r="S24" i="83"/>
  <c r="Q24" i="83"/>
  <c r="O24" i="83"/>
  <c r="M24" i="83"/>
  <c r="W23" i="83"/>
  <c r="U23" i="83"/>
  <c r="S23" i="83"/>
  <c r="Q23" i="83"/>
  <c r="O23" i="83"/>
  <c r="M23" i="83"/>
  <c r="W22" i="83"/>
  <c r="U22" i="83"/>
  <c r="S22" i="83"/>
  <c r="Q22" i="83"/>
  <c r="O22" i="83"/>
  <c r="M22" i="83"/>
  <c r="W21" i="83"/>
  <c r="U21" i="83"/>
  <c r="S21" i="83"/>
  <c r="Q21" i="83"/>
  <c r="O21" i="83"/>
  <c r="M21" i="83"/>
  <c r="W20" i="83"/>
  <c r="U20" i="83"/>
  <c r="S20" i="83"/>
  <c r="Q20" i="83"/>
  <c r="O20" i="83"/>
  <c r="M20" i="83"/>
  <c r="W19" i="83"/>
  <c r="U19" i="83"/>
  <c r="S19" i="83"/>
  <c r="Q19" i="83"/>
  <c r="O19" i="83"/>
  <c r="M19" i="83"/>
  <c r="W18" i="83"/>
  <c r="U18" i="83"/>
  <c r="S18" i="83"/>
  <c r="Q18" i="83"/>
  <c r="O18" i="83"/>
  <c r="M18" i="83"/>
  <c r="W17" i="83"/>
  <c r="U17" i="83"/>
  <c r="S17" i="83"/>
  <c r="Q17" i="83"/>
  <c r="O17" i="83"/>
  <c r="M17" i="83"/>
  <c r="W16" i="83"/>
  <c r="U16" i="83"/>
  <c r="S16" i="83"/>
  <c r="Q16" i="83"/>
  <c r="O16" i="83"/>
  <c r="M16" i="83"/>
  <c r="W15" i="83"/>
  <c r="U15" i="83"/>
  <c r="S15" i="83"/>
  <c r="Q15" i="83"/>
  <c r="O15" i="83"/>
  <c r="M15" i="83"/>
  <c r="W14" i="83"/>
  <c r="U14" i="83"/>
  <c r="S14" i="83"/>
  <c r="Q14" i="83"/>
  <c r="O14" i="83"/>
  <c r="M14" i="83"/>
  <c r="W13" i="83"/>
  <c r="U13" i="83"/>
  <c r="S13" i="83"/>
  <c r="Q13" i="83"/>
  <c r="O13" i="83"/>
  <c r="M13" i="83"/>
  <c r="W12" i="83"/>
  <c r="U12" i="83"/>
  <c r="S12" i="83"/>
  <c r="Q12" i="83"/>
  <c r="O12" i="83"/>
  <c r="M12" i="83"/>
  <c r="W11" i="83"/>
  <c r="U11" i="83"/>
  <c r="S11" i="83"/>
  <c r="Q11" i="83"/>
  <c r="O11" i="83"/>
  <c r="M11" i="83"/>
  <c r="W10" i="83"/>
  <c r="U10" i="83"/>
  <c r="S10" i="83"/>
  <c r="Q10" i="83"/>
  <c r="O10" i="83"/>
  <c r="M10" i="83"/>
  <c r="W9" i="83"/>
  <c r="U9" i="83"/>
  <c r="S9" i="83"/>
  <c r="Q9" i="83"/>
  <c r="O9" i="83"/>
  <c r="M9" i="83"/>
  <c r="W33" i="82"/>
  <c r="U33" i="82"/>
  <c r="S33" i="82"/>
  <c r="Q33" i="82"/>
  <c r="O33" i="82"/>
  <c r="M33" i="82"/>
  <c r="W31" i="82"/>
  <c r="U31" i="82"/>
  <c r="S31" i="82"/>
  <c r="Q31" i="82"/>
  <c r="O31" i="82"/>
  <c r="M31" i="82"/>
  <c r="W30" i="82"/>
  <c r="U30" i="82"/>
  <c r="S30" i="82"/>
  <c r="Q30" i="82"/>
  <c r="O30" i="82"/>
  <c r="M30" i="82"/>
  <c r="W29" i="82"/>
  <c r="U29" i="82"/>
  <c r="S29" i="82"/>
  <c r="Q29" i="82"/>
  <c r="O29" i="82"/>
  <c r="M29" i="82"/>
  <c r="W28" i="82"/>
  <c r="U28" i="82"/>
  <c r="S28" i="82"/>
  <c r="Q28" i="82"/>
  <c r="O28" i="82"/>
  <c r="M28" i="82"/>
  <c r="W27" i="82"/>
  <c r="U27" i="82"/>
  <c r="S27" i="82"/>
  <c r="Q27" i="82"/>
  <c r="O27" i="82"/>
  <c r="M27" i="82"/>
  <c r="W26" i="82"/>
  <c r="U26" i="82"/>
  <c r="S26" i="82"/>
  <c r="Q26" i="82"/>
  <c r="O26" i="82"/>
  <c r="M26" i="82"/>
  <c r="W25" i="82"/>
  <c r="U25" i="82"/>
  <c r="S25" i="82"/>
  <c r="Q25" i="82"/>
  <c r="O25" i="82"/>
  <c r="M25" i="82"/>
  <c r="W24" i="82"/>
  <c r="U24" i="82"/>
  <c r="S24" i="82"/>
  <c r="Q24" i="82"/>
  <c r="O24" i="82"/>
  <c r="M24" i="82"/>
  <c r="W23" i="82"/>
  <c r="U23" i="82"/>
  <c r="S23" i="82"/>
  <c r="Q23" i="82"/>
  <c r="O23" i="82"/>
  <c r="M23" i="82"/>
  <c r="W22" i="82"/>
  <c r="U22" i="82"/>
  <c r="S22" i="82"/>
  <c r="Q22" i="82"/>
  <c r="O22" i="82"/>
  <c r="M22" i="82"/>
  <c r="W21" i="82"/>
  <c r="U21" i="82"/>
  <c r="S21" i="82"/>
  <c r="Q21" i="82"/>
  <c r="O21" i="82"/>
  <c r="M21" i="82"/>
  <c r="W20" i="82"/>
  <c r="U20" i="82"/>
  <c r="S20" i="82"/>
  <c r="Q20" i="82"/>
  <c r="O20" i="82"/>
  <c r="M20" i="82"/>
  <c r="W19" i="82"/>
  <c r="U19" i="82"/>
  <c r="S19" i="82"/>
  <c r="Q19" i="82"/>
  <c r="O19" i="82"/>
  <c r="M19" i="82"/>
  <c r="W18" i="82"/>
  <c r="U18" i="82"/>
  <c r="S18" i="82"/>
  <c r="Q18" i="82"/>
  <c r="O18" i="82"/>
  <c r="M18" i="82"/>
  <c r="W17" i="82"/>
  <c r="U17" i="82"/>
  <c r="S17" i="82"/>
  <c r="Q17" i="82"/>
  <c r="O17" i="82"/>
  <c r="M17" i="82"/>
  <c r="W16" i="82"/>
  <c r="U16" i="82"/>
  <c r="S16" i="82"/>
  <c r="Q16" i="82"/>
  <c r="O16" i="82"/>
  <c r="M16" i="82"/>
  <c r="W15" i="82"/>
  <c r="U15" i="82"/>
  <c r="S15" i="82"/>
  <c r="Q15" i="82"/>
  <c r="O15" i="82"/>
  <c r="M15" i="82"/>
  <c r="W14" i="82"/>
  <c r="U14" i="82"/>
  <c r="S14" i="82"/>
  <c r="Q14" i="82"/>
  <c r="O14" i="82"/>
  <c r="M14" i="82"/>
  <c r="W13" i="82"/>
  <c r="U13" i="82"/>
  <c r="S13" i="82"/>
  <c r="Q13" i="82"/>
  <c r="O13" i="82"/>
  <c r="M13" i="82"/>
  <c r="W12" i="82"/>
  <c r="U12" i="82"/>
  <c r="S12" i="82"/>
  <c r="Q12" i="82"/>
  <c r="O12" i="82"/>
  <c r="M12" i="82"/>
  <c r="W11" i="82"/>
  <c r="U11" i="82"/>
  <c r="S11" i="82"/>
  <c r="Q11" i="82"/>
  <c r="O11" i="82"/>
  <c r="M11" i="82"/>
  <c r="W10" i="82"/>
  <c r="U10" i="82"/>
  <c r="S10" i="82"/>
  <c r="Q10" i="82"/>
  <c r="O10" i="82"/>
  <c r="M10" i="82"/>
  <c r="W9" i="82"/>
  <c r="U9" i="82"/>
  <c r="S9" i="82"/>
  <c r="Q9" i="82"/>
  <c r="O9" i="82"/>
  <c r="M9" i="82"/>
  <c r="W33" i="80"/>
  <c r="U33" i="80"/>
  <c r="S33" i="80"/>
  <c r="Q33" i="80"/>
  <c r="O33" i="80"/>
  <c r="M33" i="80"/>
  <c r="W31" i="80"/>
  <c r="U31" i="80"/>
  <c r="S31" i="80"/>
  <c r="Q31" i="80"/>
  <c r="O31" i="80"/>
  <c r="M31" i="80"/>
  <c r="W30" i="80"/>
  <c r="U30" i="80"/>
  <c r="S30" i="80"/>
  <c r="Q30" i="80"/>
  <c r="O30" i="80"/>
  <c r="M30" i="80"/>
  <c r="W29" i="80"/>
  <c r="U29" i="80"/>
  <c r="S29" i="80"/>
  <c r="Q29" i="80"/>
  <c r="O29" i="80"/>
  <c r="M29" i="80"/>
  <c r="W28" i="80"/>
  <c r="U28" i="80"/>
  <c r="S28" i="80"/>
  <c r="Q28" i="80"/>
  <c r="O28" i="80"/>
  <c r="M28" i="80"/>
  <c r="W27" i="80"/>
  <c r="U27" i="80"/>
  <c r="S27" i="80"/>
  <c r="Q27" i="80"/>
  <c r="O27" i="80"/>
  <c r="M27" i="80"/>
  <c r="W26" i="80"/>
  <c r="U26" i="80"/>
  <c r="S26" i="80"/>
  <c r="Q26" i="80"/>
  <c r="O26" i="80"/>
  <c r="M26" i="80"/>
  <c r="W25" i="80"/>
  <c r="U25" i="80"/>
  <c r="S25" i="80"/>
  <c r="Q25" i="80"/>
  <c r="O25" i="80"/>
  <c r="M25" i="80"/>
  <c r="W24" i="80"/>
  <c r="U24" i="80"/>
  <c r="S24" i="80"/>
  <c r="Q24" i="80"/>
  <c r="O24" i="80"/>
  <c r="M24" i="80"/>
  <c r="W23" i="80"/>
  <c r="U23" i="80"/>
  <c r="S23" i="80"/>
  <c r="Q23" i="80"/>
  <c r="O23" i="80"/>
  <c r="M23" i="80"/>
  <c r="W22" i="80"/>
  <c r="U22" i="80"/>
  <c r="S22" i="80"/>
  <c r="Q22" i="80"/>
  <c r="O22" i="80"/>
  <c r="M22" i="80"/>
  <c r="W21" i="80"/>
  <c r="U21" i="80"/>
  <c r="S21" i="80"/>
  <c r="Q21" i="80"/>
  <c r="O21" i="80"/>
  <c r="M21" i="80"/>
  <c r="W20" i="80"/>
  <c r="U20" i="80"/>
  <c r="S20" i="80"/>
  <c r="Q20" i="80"/>
  <c r="O20" i="80"/>
  <c r="M20" i="80"/>
  <c r="W19" i="80"/>
  <c r="U19" i="80"/>
  <c r="S19" i="80"/>
  <c r="Q19" i="80"/>
  <c r="O19" i="80"/>
  <c r="M19" i="80"/>
  <c r="W18" i="80"/>
  <c r="U18" i="80"/>
  <c r="S18" i="80"/>
  <c r="Q18" i="80"/>
  <c r="O18" i="80"/>
  <c r="M18" i="80"/>
  <c r="W17" i="80"/>
  <c r="U17" i="80"/>
  <c r="S17" i="80"/>
  <c r="Q17" i="80"/>
  <c r="O17" i="80"/>
  <c r="M17" i="80"/>
  <c r="W16" i="80"/>
  <c r="U16" i="80"/>
  <c r="S16" i="80"/>
  <c r="Q16" i="80"/>
  <c r="O16" i="80"/>
  <c r="M16" i="80"/>
  <c r="W15" i="80"/>
  <c r="U15" i="80"/>
  <c r="S15" i="80"/>
  <c r="Q15" i="80"/>
  <c r="O15" i="80"/>
  <c r="M15" i="80"/>
  <c r="W14" i="80"/>
  <c r="U14" i="80"/>
  <c r="S14" i="80"/>
  <c r="Q14" i="80"/>
  <c r="O14" i="80"/>
  <c r="M14" i="80"/>
  <c r="W13" i="80"/>
  <c r="U13" i="80"/>
  <c r="S13" i="80"/>
  <c r="Q13" i="80"/>
  <c r="O13" i="80"/>
  <c r="M13" i="80"/>
  <c r="W12" i="80"/>
  <c r="U12" i="80"/>
  <c r="S12" i="80"/>
  <c r="Q12" i="80"/>
  <c r="O12" i="80"/>
  <c r="M12" i="80"/>
  <c r="W11" i="80"/>
  <c r="U11" i="80"/>
  <c r="S11" i="80"/>
  <c r="Q11" i="80"/>
  <c r="O11" i="80"/>
  <c r="M11" i="80"/>
  <c r="W10" i="80"/>
  <c r="U10" i="80"/>
  <c r="S10" i="80"/>
  <c r="Q10" i="80"/>
  <c r="O10" i="80"/>
  <c r="M10" i="80"/>
  <c r="W9" i="80"/>
  <c r="U9" i="80"/>
  <c r="S9" i="80"/>
  <c r="Q9" i="80"/>
  <c r="O9" i="80"/>
  <c r="M9" i="80"/>
  <c r="W33" i="79"/>
  <c r="U33" i="79"/>
  <c r="S33" i="79"/>
  <c r="Q33" i="79"/>
  <c r="O33" i="79"/>
  <c r="M33" i="79"/>
  <c r="W31" i="79"/>
  <c r="U31" i="79"/>
  <c r="S31" i="79"/>
  <c r="Q31" i="79"/>
  <c r="O31" i="79"/>
  <c r="M31" i="79"/>
  <c r="W30" i="79"/>
  <c r="U30" i="79"/>
  <c r="S30" i="79"/>
  <c r="Q30" i="79"/>
  <c r="O30" i="79"/>
  <c r="M30" i="79"/>
  <c r="W29" i="79"/>
  <c r="U29" i="79"/>
  <c r="S29" i="79"/>
  <c r="Q29" i="79"/>
  <c r="O29" i="79"/>
  <c r="M29" i="79"/>
  <c r="W28" i="79"/>
  <c r="U28" i="79"/>
  <c r="S28" i="79"/>
  <c r="Q28" i="79"/>
  <c r="O28" i="79"/>
  <c r="M28" i="79"/>
  <c r="W27" i="79"/>
  <c r="U27" i="79"/>
  <c r="S27" i="79"/>
  <c r="Q27" i="79"/>
  <c r="O27" i="79"/>
  <c r="M27" i="79"/>
  <c r="W26" i="79"/>
  <c r="U26" i="79"/>
  <c r="S26" i="79"/>
  <c r="Q26" i="79"/>
  <c r="O26" i="79"/>
  <c r="M26" i="79"/>
  <c r="W25" i="79"/>
  <c r="U25" i="79"/>
  <c r="S25" i="79"/>
  <c r="Q25" i="79"/>
  <c r="O25" i="79"/>
  <c r="M25" i="79"/>
  <c r="W24" i="79"/>
  <c r="U24" i="79"/>
  <c r="S24" i="79"/>
  <c r="Q24" i="79"/>
  <c r="O24" i="79"/>
  <c r="M24" i="79"/>
  <c r="W23" i="79"/>
  <c r="U23" i="79"/>
  <c r="S23" i="79"/>
  <c r="Q23" i="79"/>
  <c r="O23" i="79"/>
  <c r="M23" i="79"/>
  <c r="W22" i="79"/>
  <c r="U22" i="79"/>
  <c r="S22" i="79"/>
  <c r="Q22" i="79"/>
  <c r="O22" i="79"/>
  <c r="M22" i="79"/>
  <c r="W21" i="79"/>
  <c r="U21" i="79"/>
  <c r="S21" i="79"/>
  <c r="Q21" i="79"/>
  <c r="O21" i="79"/>
  <c r="M21" i="79"/>
  <c r="W20" i="79"/>
  <c r="U20" i="79"/>
  <c r="S20" i="79"/>
  <c r="Q20" i="79"/>
  <c r="O20" i="79"/>
  <c r="M20" i="79"/>
  <c r="W19" i="79"/>
  <c r="U19" i="79"/>
  <c r="S19" i="79"/>
  <c r="Q19" i="79"/>
  <c r="O19" i="79"/>
  <c r="M19" i="79"/>
  <c r="W18" i="79"/>
  <c r="U18" i="79"/>
  <c r="S18" i="79"/>
  <c r="Q18" i="79"/>
  <c r="O18" i="79"/>
  <c r="M18" i="79"/>
  <c r="W17" i="79"/>
  <c r="U17" i="79"/>
  <c r="S17" i="79"/>
  <c r="Q17" i="79"/>
  <c r="O17" i="79"/>
  <c r="M17" i="79"/>
  <c r="W16" i="79"/>
  <c r="U16" i="79"/>
  <c r="S16" i="79"/>
  <c r="Q16" i="79"/>
  <c r="O16" i="79"/>
  <c r="M16" i="79"/>
  <c r="W15" i="79"/>
  <c r="U15" i="79"/>
  <c r="S15" i="79"/>
  <c r="Q15" i="79"/>
  <c r="O15" i="79"/>
  <c r="M15" i="79"/>
  <c r="W14" i="79"/>
  <c r="U14" i="79"/>
  <c r="S14" i="79"/>
  <c r="Q14" i="79"/>
  <c r="O14" i="79"/>
  <c r="M14" i="79"/>
  <c r="W13" i="79"/>
  <c r="U13" i="79"/>
  <c r="S13" i="79"/>
  <c r="Q13" i="79"/>
  <c r="O13" i="79"/>
  <c r="M13" i="79"/>
  <c r="W12" i="79"/>
  <c r="U12" i="79"/>
  <c r="S12" i="79"/>
  <c r="Q12" i="79"/>
  <c r="O12" i="79"/>
  <c r="M12" i="79"/>
  <c r="W11" i="79"/>
  <c r="U11" i="79"/>
  <c r="S11" i="79"/>
  <c r="Q11" i="79"/>
  <c r="O11" i="79"/>
  <c r="M11" i="79"/>
  <c r="W10" i="79"/>
  <c r="U10" i="79"/>
  <c r="S10" i="79"/>
  <c r="Q10" i="79"/>
  <c r="O10" i="79"/>
  <c r="M10" i="79"/>
  <c r="W9" i="79"/>
  <c r="U9" i="79"/>
  <c r="S9" i="79"/>
  <c r="Q9" i="79"/>
  <c r="O9" i="79"/>
  <c r="M9" i="79"/>
  <c r="W33" i="78"/>
  <c r="U33" i="78"/>
  <c r="S33" i="78"/>
  <c r="Q33" i="78"/>
  <c r="O33" i="78"/>
  <c r="M33" i="78"/>
  <c r="W31" i="78"/>
  <c r="U31" i="78"/>
  <c r="S31" i="78"/>
  <c r="Q31" i="78"/>
  <c r="O31" i="78"/>
  <c r="M31" i="78"/>
  <c r="W30" i="78"/>
  <c r="U30" i="78"/>
  <c r="S30" i="78"/>
  <c r="Q30" i="78"/>
  <c r="O30" i="78"/>
  <c r="M30" i="78"/>
  <c r="W29" i="78"/>
  <c r="U29" i="78"/>
  <c r="S29" i="78"/>
  <c r="Q29" i="78"/>
  <c r="O29" i="78"/>
  <c r="M29" i="78"/>
  <c r="W28" i="78"/>
  <c r="U28" i="78"/>
  <c r="S28" i="78"/>
  <c r="Q28" i="78"/>
  <c r="O28" i="78"/>
  <c r="M28" i="78"/>
  <c r="W27" i="78"/>
  <c r="U27" i="78"/>
  <c r="S27" i="78"/>
  <c r="Q27" i="78"/>
  <c r="O27" i="78"/>
  <c r="M27" i="78"/>
  <c r="W26" i="78"/>
  <c r="U26" i="78"/>
  <c r="S26" i="78"/>
  <c r="Q26" i="78"/>
  <c r="O26" i="78"/>
  <c r="M26" i="78"/>
  <c r="W25" i="78"/>
  <c r="U25" i="78"/>
  <c r="S25" i="78"/>
  <c r="Q25" i="78"/>
  <c r="O25" i="78"/>
  <c r="M25" i="78"/>
  <c r="W24" i="78"/>
  <c r="U24" i="78"/>
  <c r="S24" i="78"/>
  <c r="Q24" i="78"/>
  <c r="O24" i="78"/>
  <c r="M24" i="78"/>
  <c r="W23" i="78"/>
  <c r="U23" i="78"/>
  <c r="S23" i="78"/>
  <c r="Q23" i="78"/>
  <c r="O23" i="78"/>
  <c r="M23" i="78"/>
  <c r="W22" i="78"/>
  <c r="U22" i="78"/>
  <c r="S22" i="78"/>
  <c r="Q22" i="78"/>
  <c r="O22" i="78"/>
  <c r="M22" i="78"/>
  <c r="W21" i="78"/>
  <c r="U21" i="78"/>
  <c r="S21" i="78"/>
  <c r="Q21" i="78"/>
  <c r="O21" i="78"/>
  <c r="M21" i="78"/>
  <c r="W20" i="78"/>
  <c r="U20" i="78"/>
  <c r="S20" i="78"/>
  <c r="Q20" i="78"/>
  <c r="O20" i="78"/>
  <c r="M20" i="78"/>
  <c r="W19" i="78"/>
  <c r="U19" i="78"/>
  <c r="S19" i="78"/>
  <c r="Q19" i="78"/>
  <c r="O19" i="78"/>
  <c r="M19" i="78"/>
  <c r="W18" i="78"/>
  <c r="U18" i="78"/>
  <c r="S18" i="78"/>
  <c r="Q18" i="78"/>
  <c r="O18" i="78"/>
  <c r="M18" i="78"/>
  <c r="W17" i="78"/>
  <c r="U17" i="78"/>
  <c r="S17" i="78"/>
  <c r="Q17" i="78"/>
  <c r="O17" i="78"/>
  <c r="M17" i="78"/>
  <c r="W16" i="78"/>
  <c r="U16" i="78"/>
  <c r="S16" i="78"/>
  <c r="Q16" i="78"/>
  <c r="O16" i="78"/>
  <c r="M16" i="78"/>
  <c r="W15" i="78"/>
  <c r="U15" i="78"/>
  <c r="S15" i="78"/>
  <c r="Q15" i="78"/>
  <c r="O15" i="78"/>
  <c r="M15" i="78"/>
  <c r="W14" i="78"/>
  <c r="U14" i="78"/>
  <c r="S14" i="78"/>
  <c r="Q14" i="78"/>
  <c r="O14" i="78"/>
  <c r="M14" i="78"/>
  <c r="W13" i="78"/>
  <c r="U13" i="78"/>
  <c r="S13" i="78"/>
  <c r="Q13" i="78"/>
  <c r="O13" i="78"/>
  <c r="M13" i="78"/>
  <c r="W12" i="78"/>
  <c r="U12" i="78"/>
  <c r="S12" i="78"/>
  <c r="Q12" i="78"/>
  <c r="O12" i="78"/>
  <c r="M12" i="78"/>
  <c r="W11" i="78"/>
  <c r="U11" i="78"/>
  <c r="S11" i="78"/>
  <c r="Q11" i="78"/>
  <c r="O11" i="78"/>
  <c r="M11" i="78"/>
  <c r="W10" i="78"/>
  <c r="U10" i="78"/>
  <c r="S10" i="78"/>
  <c r="Q10" i="78"/>
  <c r="O10" i="78"/>
  <c r="M10" i="78"/>
  <c r="W9" i="78"/>
  <c r="U9" i="78"/>
  <c r="S9" i="78"/>
  <c r="Q9" i="78"/>
  <c r="O9" i="78"/>
  <c r="M9" i="78"/>
  <c r="W33" i="77"/>
  <c r="U33" i="77"/>
  <c r="S33" i="77"/>
  <c r="Q33" i="77"/>
  <c r="O33" i="77"/>
  <c r="M33" i="77"/>
  <c r="W31" i="77"/>
  <c r="U31" i="77"/>
  <c r="S31" i="77"/>
  <c r="Q31" i="77"/>
  <c r="O31" i="77"/>
  <c r="M31" i="77"/>
  <c r="W30" i="77"/>
  <c r="U30" i="77"/>
  <c r="S30" i="77"/>
  <c r="Q30" i="77"/>
  <c r="O30" i="77"/>
  <c r="M30" i="77"/>
  <c r="W29" i="77"/>
  <c r="U29" i="77"/>
  <c r="S29" i="77"/>
  <c r="Q29" i="77"/>
  <c r="O29" i="77"/>
  <c r="M29" i="77"/>
  <c r="W28" i="77"/>
  <c r="U28" i="77"/>
  <c r="S28" i="77"/>
  <c r="Q28" i="77"/>
  <c r="O28" i="77"/>
  <c r="M28" i="77"/>
  <c r="W27" i="77"/>
  <c r="U27" i="77"/>
  <c r="S27" i="77"/>
  <c r="Q27" i="77"/>
  <c r="O27" i="77"/>
  <c r="M27" i="77"/>
  <c r="W26" i="77"/>
  <c r="U26" i="77"/>
  <c r="S26" i="77"/>
  <c r="Q26" i="77"/>
  <c r="O26" i="77"/>
  <c r="M26" i="77"/>
  <c r="W25" i="77"/>
  <c r="U25" i="77"/>
  <c r="S25" i="77"/>
  <c r="Q25" i="77"/>
  <c r="O25" i="77"/>
  <c r="M25" i="77"/>
  <c r="W24" i="77"/>
  <c r="U24" i="77"/>
  <c r="S24" i="77"/>
  <c r="Q24" i="77"/>
  <c r="O24" i="77"/>
  <c r="M24" i="77"/>
  <c r="W23" i="77"/>
  <c r="U23" i="77"/>
  <c r="S23" i="77"/>
  <c r="Q23" i="77"/>
  <c r="O23" i="77"/>
  <c r="M23" i="77"/>
  <c r="W22" i="77"/>
  <c r="U22" i="77"/>
  <c r="S22" i="77"/>
  <c r="Q22" i="77"/>
  <c r="O22" i="77"/>
  <c r="M22" i="77"/>
  <c r="W21" i="77"/>
  <c r="U21" i="77"/>
  <c r="S21" i="77"/>
  <c r="Q21" i="77"/>
  <c r="O21" i="77"/>
  <c r="M21" i="77"/>
  <c r="W20" i="77"/>
  <c r="U20" i="77"/>
  <c r="S20" i="77"/>
  <c r="Q20" i="77"/>
  <c r="O20" i="77"/>
  <c r="M20" i="77"/>
  <c r="W19" i="77"/>
  <c r="U19" i="77"/>
  <c r="S19" i="77"/>
  <c r="Q19" i="77"/>
  <c r="O19" i="77"/>
  <c r="M19" i="77"/>
  <c r="W18" i="77"/>
  <c r="U18" i="77"/>
  <c r="S18" i="77"/>
  <c r="Q18" i="77"/>
  <c r="O18" i="77"/>
  <c r="M18" i="77"/>
  <c r="W17" i="77"/>
  <c r="U17" i="77"/>
  <c r="S17" i="77"/>
  <c r="Q17" i="77"/>
  <c r="O17" i="77"/>
  <c r="M17" i="77"/>
  <c r="W16" i="77"/>
  <c r="U16" i="77"/>
  <c r="S16" i="77"/>
  <c r="Q16" i="77"/>
  <c r="O16" i="77"/>
  <c r="M16" i="77"/>
  <c r="W15" i="77"/>
  <c r="U15" i="77"/>
  <c r="S15" i="77"/>
  <c r="Q15" i="77"/>
  <c r="O15" i="77"/>
  <c r="M15" i="77"/>
  <c r="W14" i="77"/>
  <c r="U14" i="77"/>
  <c r="S14" i="77"/>
  <c r="Q14" i="77"/>
  <c r="O14" i="77"/>
  <c r="M14" i="77"/>
  <c r="W13" i="77"/>
  <c r="U13" i="77"/>
  <c r="S13" i="77"/>
  <c r="Q13" i="77"/>
  <c r="O13" i="77"/>
  <c r="M13" i="77"/>
  <c r="W12" i="77"/>
  <c r="U12" i="77"/>
  <c r="S12" i="77"/>
  <c r="Q12" i="77"/>
  <c r="O12" i="77"/>
  <c r="M12" i="77"/>
  <c r="W11" i="77"/>
  <c r="U11" i="77"/>
  <c r="S11" i="77"/>
  <c r="Q11" i="77"/>
  <c r="O11" i="77"/>
  <c r="M11" i="77"/>
  <c r="W10" i="77"/>
  <c r="U10" i="77"/>
  <c r="S10" i="77"/>
  <c r="Q10" i="77"/>
  <c r="O10" i="77"/>
  <c r="M10" i="77"/>
  <c r="W9" i="77"/>
  <c r="U9" i="77"/>
  <c r="S9" i="77"/>
  <c r="Q9" i="77"/>
  <c r="O9" i="77"/>
  <c r="M9" i="77"/>
  <c r="W33" i="76"/>
  <c r="U33" i="76"/>
  <c r="S33" i="76"/>
  <c r="Q33" i="76"/>
  <c r="O33" i="76"/>
  <c r="M33" i="76"/>
  <c r="W31" i="76"/>
  <c r="U31" i="76"/>
  <c r="S31" i="76"/>
  <c r="Q31" i="76"/>
  <c r="O31" i="76"/>
  <c r="M31" i="76"/>
  <c r="W30" i="76"/>
  <c r="U30" i="76"/>
  <c r="S30" i="76"/>
  <c r="Q30" i="76"/>
  <c r="O30" i="76"/>
  <c r="M30" i="76"/>
  <c r="W29" i="76"/>
  <c r="U29" i="76"/>
  <c r="S29" i="76"/>
  <c r="Q29" i="76"/>
  <c r="O29" i="76"/>
  <c r="M29" i="76"/>
  <c r="W28" i="76"/>
  <c r="U28" i="76"/>
  <c r="S28" i="76"/>
  <c r="Q28" i="76"/>
  <c r="O28" i="76"/>
  <c r="M28" i="76"/>
  <c r="W27" i="76"/>
  <c r="U27" i="76"/>
  <c r="S27" i="76"/>
  <c r="Q27" i="76"/>
  <c r="O27" i="76"/>
  <c r="M27" i="76"/>
  <c r="W26" i="76"/>
  <c r="U26" i="76"/>
  <c r="S26" i="76"/>
  <c r="Q26" i="76"/>
  <c r="O26" i="76"/>
  <c r="M26" i="76"/>
  <c r="W25" i="76"/>
  <c r="U25" i="76"/>
  <c r="S25" i="76"/>
  <c r="Q25" i="76"/>
  <c r="O25" i="76"/>
  <c r="M25" i="76"/>
  <c r="W24" i="76"/>
  <c r="U24" i="76"/>
  <c r="S24" i="76"/>
  <c r="Q24" i="76"/>
  <c r="O24" i="76"/>
  <c r="M24" i="76"/>
  <c r="W23" i="76"/>
  <c r="U23" i="76"/>
  <c r="S23" i="76"/>
  <c r="Q23" i="76"/>
  <c r="O23" i="76"/>
  <c r="M23" i="76"/>
  <c r="W22" i="76"/>
  <c r="U22" i="76"/>
  <c r="S22" i="76"/>
  <c r="Q22" i="76"/>
  <c r="O22" i="76"/>
  <c r="M22" i="76"/>
  <c r="W21" i="76"/>
  <c r="U21" i="76"/>
  <c r="S21" i="76"/>
  <c r="Q21" i="76"/>
  <c r="O21" i="76"/>
  <c r="M21" i="76"/>
  <c r="W20" i="76"/>
  <c r="U20" i="76"/>
  <c r="S20" i="76"/>
  <c r="Q20" i="76"/>
  <c r="O20" i="76"/>
  <c r="M20" i="76"/>
  <c r="W19" i="76"/>
  <c r="U19" i="76"/>
  <c r="S19" i="76"/>
  <c r="Q19" i="76"/>
  <c r="O19" i="76"/>
  <c r="M19" i="76"/>
  <c r="W18" i="76"/>
  <c r="U18" i="76"/>
  <c r="S18" i="76"/>
  <c r="Q18" i="76"/>
  <c r="O18" i="76"/>
  <c r="M18" i="76"/>
  <c r="W17" i="76"/>
  <c r="U17" i="76"/>
  <c r="S17" i="76"/>
  <c r="Q17" i="76"/>
  <c r="O17" i="76"/>
  <c r="M17" i="76"/>
  <c r="W16" i="76"/>
  <c r="U16" i="76"/>
  <c r="S16" i="76"/>
  <c r="Q16" i="76"/>
  <c r="O16" i="76"/>
  <c r="M16" i="76"/>
  <c r="W15" i="76"/>
  <c r="U15" i="76"/>
  <c r="S15" i="76"/>
  <c r="Q15" i="76"/>
  <c r="O15" i="76"/>
  <c r="M15" i="76"/>
  <c r="W14" i="76"/>
  <c r="U14" i="76"/>
  <c r="S14" i="76"/>
  <c r="Q14" i="76"/>
  <c r="O14" i="76"/>
  <c r="M14" i="76"/>
  <c r="W13" i="76"/>
  <c r="U13" i="76"/>
  <c r="S13" i="76"/>
  <c r="Q13" i="76"/>
  <c r="O13" i="76"/>
  <c r="M13" i="76"/>
  <c r="W12" i="76"/>
  <c r="U12" i="76"/>
  <c r="S12" i="76"/>
  <c r="Q12" i="76"/>
  <c r="O12" i="76"/>
  <c r="M12" i="76"/>
  <c r="W11" i="76"/>
  <c r="U11" i="76"/>
  <c r="S11" i="76"/>
  <c r="Q11" i="76"/>
  <c r="O11" i="76"/>
  <c r="M11" i="76"/>
  <c r="W10" i="76"/>
  <c r="U10" i="76"/>
  <c r="S10" i="76"/>
  <c r="Q10" i="76"/>
  <c r="O10" i="76"/>
  <c r="M10" i="76"/>
  <c r="W9" i="76"/>
  <c r="U9" i="76"/>
  <c r="S9" i="76"/>
  <c r="Q9" i="76"/>
  <c r="O9" i="76"/>
  <c r="M9" i="76"/>
  <c r="W33" i="75"/>
  <c r="U33" i="75"/>
  <c r="S33" i="75"/>
  <c r="Q33" i="75"/>
  <c r="O33" i="75"/>
  <c r="M33" i="75"/>
  <c r="W31" i="75"/>
  <c r="U31" i="75"/>
  <c r="S31" i="75"/>
  <c r="Q31" i="75"/>
  <c r="O31" i="75"/>
  <c r="M31" i="75"/>
  <c r="W30" i="75"/>
  <c r="U30" i="75"/>
  <c r="S30" i="75"/>
  <c r="Q30" i="75"/>
  <c r="O30" i="75"/>
  <c r="M30" i="75"/>
  <c r="W29" i="75"/>
  <c r="U29" i="75"/>
  <c r="S29" i="75"/>
  <c r="Q29" i="75"/>
  <c r="O29" i="75"/>
  <c r="M29" i="75"/>
  <c r="W28" i="75"/>
  <c r="U28" i="75"/>
  <c r="S28" i="75"/>
  <c r="Q28" i="75"/>
  <c r="O28" i="75"/>
  <c r="M28" i="75"/>
  <c r="W27" i="75"/>
  <c r="U27" i="75"/>
  <c r="S27" i="75"/>
  <c r="Q27" i="75"/>
  <c r="O27" i="75"/>
  <c r="M27" i="75"/>
  <c r="W26" i="75"/>
  <c r="U26" i="75"/>
  <c r="S26" i="75"/>
  <c r="Q26" i="75"/>
  <c r="O26" i="75"/>
  <c r="M26" i="75"/>
  <c r="W25" i="75"/>
  <c r="U25" i="75"/>
  <c r="S25" i="75"/>
  <c r="Q25" i="75"/>
  <c r="O25" i="75"/>
  <c r="M25" i="75"/>
  <c r="W24" i="75"/>
  <c r="U24" i="75"/>
  <c r="S24" i="75"/>
  <c r="Q24" i="75"/>
  <c r="O24" i="75"/>
  <c r="M24" i="75"/>
  <c r="W23" i="75"/>
  <c r="U23" i="75"/>
  <c r="S23" i="75"/>
  <c r="Q23" i="75"/>
  <c r="O23" i="75"/>
  <c r="M23" i="75"/>
  <c r="W22" i="75"/>
  <c r="U22" i="75"/>
  <c r="S22" i="75"/>
  <c r="Q22" i="75"/>
  <c r="O22" i="75"/>
  <c r="M22" i="75"/>
  <c r="W21" i="75"/>
  <c r="U21" i="75"/>
  <c r="S21" i="75"/>
  <c r="Q21" i="75"/>
  <c r="O21" i="75"/>
  <c r="M21" i="75"/>
  <c r="W20" i="75"/>
  <c r="U20" i="75"/>
  <c r="S20" i="75"/>
  <c r="Q20" i="75"/>
  <c r="O20" i="75"/>
  <c r="M20" i="75"/>
  <c r="W19" i="75"/>
  <c r="U19" i="75"/>
  <c r="S19" i="75"/>
  <c r="Q19" i="75"/>
  <c r="O19" i="75"/>
  <c r="M19" i="75"/>
  <c r="W18" i="75"/>
  <c r="U18" i="75"/>
  <c r="S18" i="75"/>
  <c r="Q18" i="75"/>
  <c r="O18" i="75"/>
  <c r="M18" i="75"/>
  <c r="W17" i="75"/>
  <c r="U17" i="75"/>
  <c r="S17" i="75"/>
  <c r="Q17" i="75"/>
  <c r="O17" i="75"/>
  <c r="M17" i="75"/>
  <c r="W16" i="75"/>
  <c r="U16" i="75"/>
  <c r="S16" i="75"/>
  <c r="Q16" i="75"/>
  <c r="O16" i="75"/>
  <c r="M16" i="75"/>
  <c r="W15" i="75"/>
  <c r="U15" i="75"/>
  <c r="S15" i="75"/>
  <c r="Q15" i="75"/>
  <c r="O15" i="75"/>
  <c r="M15" i="75"/>
  <c r="W14" i="75"/>
  <c r="U14" i="75"/>
  <c r="S14" i="75"/>
  <c r="Q14" i="75"/>
  <c r="O14" i="75"/>
  <c r="M14" i="75"/>
  <c r="W13" i="75"/>
  <c r="U13" i="75"/>
  <c r="S13" i="75"/>
  <c r="Q13" i="75"/>
  <c r="O13" i="75"/>
  <c r="M13" i="75"/>
  <c r="W12" i="75"/>
  <c r="U12" i="75"/>
  <c r="S12" i="75"/>
  <c r="Q12" i="75"/>
  <c r="O12" i="75"/>
  <c r="M12" i="75"/>
  <c r="W11" i="75"/>
  <c r="U11" i="75"/>
  <c r="S11" i="75"/>
  <c r="Q11" i="75"/>
  <c r="O11" i="75"/>
  <c r="M11" i="75"/>
  <c r="W10" i="75"/>
  <c r="U10" i="75"/>
  <c r="S10" i="75"/>
  <c r="Q10" i="75"/>
  <c r="O10" i="75"/>
  <c r="M10" i="75"/>
  <c r="W9" i="75"/>
  <c r="U9" i="75"/>
  <c r="S9" i="75"/>
  <c r="Q9" i="75"/>
  <c r="O9" i="75"/>
  <c r="M9" i="75"/>
  <c r="W33" i="74"/>
  <c r="U33" i="74"/>
  <c r="S33" i="74"/>
  <c r="Q33" i="74"/>
  <c r="O33" i="74"/>
  <c r="M33" i="74"/>
  <c r="W31" i="74"/>
  <c r="U31" i="74"/>
  <c r="S31" i="74"/>
  <c r="Q31" i="74"/>
  <c r="O31" i="74"/>
  <c r="M31" i="74"/>
  <c r="W30" i="74"/>
  <c r="U30" i="74"/>
  <c r="S30" i="74"/>
  <c r="Q30" i="74"/>
  <c r="O30" i="74"/>
  <c r="M30" i="74"/>
  <c r="W29" i="74"/>
  <c r="U29" i="74"/>
  <c r="S29" i="74"/>
  <c r="Q29" i="74"/>
  <c r="O29" i="74"/>
  <c r="M29" i="74"/>
  <c r="W28" i="74"/>
  <c r="U28" i="74"/>
  <c r="S28" i="74"/>
  <c r="Q28" i="74"/>
  <c r="O28" i="74"/>
  <c r="M28" i="74"/>
  <c r="W27" i="74"/>
  <c r="U27" i="74"/>
  <c r="S27" i="74"/>
  <c r="Q27" i="74"/>
  <c r="O27" i="74"/>
  <c r="M27" i="74"/>
  <c r="W26" i="74"/>
  <c r="U26" i="74"/>
  <c r="S26" i="74"/>
  <c r="Q26" i="74"/>
  <c r="O26" i="74"/>
  <c r="M26" i="74"/>
  <c r="W25" i="74"/>
  <c r="U25" i="74"/>
  <c r="S25" i="74"/>
  <c r="Q25" i="74"/>
  <c r="O25" i="74"/>
  <c r="M25" i="74"/>
  <c r="W24" i="74"/>
  <c r="U24" i="74"/>
  <c r="S24" i="74"/>
  <c r="Q24" i="74"/>
  <c r="O24" i="74"/>
  <c r="M24" i="74"/>
  <c r="W23" i="74"/>
  <c r="U23" i="74"/>
  <c r="S23" i="74"/>
  <c r="Q23" i="74"/>
  <c r="O23" i="74"/>
  <c r="M23" i="74"/>
  <c r="W22" i="74"/>
  <c r="U22" i="74"/>
  <c r="S22" i="74"/>
  <c r="Q22" i="74"/>
  <c r="O22" i="74"/>
  <c r="M22" i="74"/>
  <c r="W21" i="74"/>
  <c r="U21" i="74"/>
  <c r="S21" i="74"/>
  <c r="Q21" i="74"/>
  <c r="O21" i="74"/>
  <c r="M21" i="74"/>
  <c r="W20" i="74"/>
  <c r="U20" i="74"/>
  <c r="S20" i="74"/>
  <c r="Q20" i="74"/>
  <c r="O20" i="74"/>
  <c r="M20" i="74"/>
  <c r="W19" i="74"/>
  <c r="U19" i="74"/>
  <c r="S19" i="74"/>
  <c r="Q19" i="74"/>
  <c r="O19" i="74"/>
  <c r="M19" i="74"/>
  <c r="W18" i="74"/>
  <c r="U18" i="74"/>
  <c r="S18" i="74"/>
  <c r="Q18" i="74"/>
  <c r="O18" i="74"/>
  <c r="M18" i="74"/>
  <c r="W17" i="74"/>
  <c r="U17" i="74"/>
  <c r="S17" i="74"/>
  <c r="Q17" i="74"/>
  <c r="O17" i="74"/>
  <c r="M17" i="74"/>
  <c r="W16" i="74"/>
  <c r="U16" i="74"/>
  <c r="S16" i="74"/>
  <c r="Q16" i="74"/>
  <c r="O16" i="74"/>
  <c r="M16" i="74"/>
  <c r="W15" i="74"/>
  <c r="U15" i="74"/>
  <c r="S15" i="74"/>
  <c r="Q15" i="74"/>
  <c r="O15" i="74"/>
  <c r="M15" i="74"/>
  <c r="W14" i="74"/>
  <c r="U14" i="74"/>
  <c r="S14" i="74"/>
  <c r="Q14" i="74"/>
  <c r="O14" i="74"/>
  <c r="M14" i="74"/>
  <c r="W13" i="74"/>
  <c r="U13" i="74"/>
  <c r="S13" i="74"/>
  <c r="Q13" i="74"/>
  <c r="O13" i="74"/>
  <c r="M13" i="74"/>
  <c r="W12" i="74"/>
  <c r="U12" i="74"/>
  <c r="S12" i="74"/>
  <c r="Q12" i="74"/>
  <c r="O12" i="74"/>
  <c r="M12" i="74"/>
  <c r="W11" i="74"/>
  <c r="U11" i="74"/>
  <c r="S11" i="74"/>
  <c r="Q11" i="74"/>
  <c r="O11" i="74"/>
  <c r="M11" i="74"/>
  <c r="W10" i="74"/>
  <c r="U10" i="74"/>
  <c r="S10" i="74"/>
  <c r="Q10" i="74"/>
  <c r="O10" i="74"/>
  <c r="M10" i="74"/>
  <c r="W9" i="74"/>
  <c r="U9" i="74"/>
  <c r="S9" i="74"/>
  <c r="Q9" i="74"/>
  <c r="O9" i="74"/>
  <c r="M9" i="74"/>
  <c r="W33" i="73"/>
  <c r="U33" i="73"/>
  <c r="S33" i="73"/>
  <c r="Q33" i="73"/>
  <c r="O33" i="73"/>
  <c r="M33" i="73"/>
  <c r="W31" i="73"/>
  <c r="U31" i="73"/>
  <c r="S31" i="73"/>
  <c r="Q31" i="73"/>
  <c r="O31" i="73"/>
  <c r="M31" i="73"/>
  <c r="W30" i="73"/>
  <c r="U30" i="73"/>
  <c r="S30" i="73"/>
  <c r="Q30" i="73"/>
  <c r="O30" i="73"/>
  <c r="M30" i="73"/>
  <c r="W29" i="73"/>
  <c r="U29" i="73"/>
  <c r="S29" i="73"/>
  <c r="Q29" i="73"/>
  <c r="O29" i="73"/>
  <c r="M29" i="73"/>
  <c r="W28" i="73"/>
  <c r="U28" i="73"/>
  <c r="S28" i="73"/>
  <c r="Q28" i="73"/>
  <c r="O28" i="73"/>
  <c r="M28" i="73"/>
  <c r="W27" i="73"/>
  <c r="U27" i="73"/>
  <c r="S27" i="73"/>
  <c r="Q27" i="73"/>
  <c r="O27" i="73"/>
  <c r="M27" i="73"/>
  <c r="W26" i="73"/>
  <c r="U26" i="73"/>
  <c r="S26" i="73"/>
  <c r="Q26" i="73"/>
  <c r="O26" i="73"/>
  <c r="M26" i="73"/>
  <c r="W25" i="73"/>
  <c r="U25" i="73"/>
  <c r="S25" i="73"/>
  <c r="Q25" i="73"/>
  <c r="O25" i="73"/>
  <c r="M25" i="73"/>
  <c r="W24" i="73"/>
  <c r="U24" i="73"/>
  <c r="S24" i="73"/>
  <c r="Q24" i="73"/>
  <c r="O24" i="73"/>
  <c r="M24" i="73"/>
  <c r="W23" i="73"/>
  <c r="U23" i="73"/>
  <c r="S23" i="73"/>
  <c r="Q23" i="73"/>
  <c r="O23" i="73"/>
  <c r="M23" i="73"/>
  <c r="W22" i="73"/>
  <c r="U22" i="73"/>
  <c r="S22" i="73"/>
  <c r="Q22" i="73"/>
  <c r="O22" i="73"/>
  <c r="M22" i="73"/>
  <c r="W21" i="73"/>
  <c r="U21" i="73"/>
  <c r="S21" i="73"/>
  <c r="Q21" i="73"/>
  <c r="O21" i="73"/>
  <c r="M21" i="73"/>
  <c r="W20" i="73"/>
  <c r="U20" i="73"/>
  <c r="S20" i="73"/>
  <c r="Q20" i="73"/>
  <c r="O20" i="73"/>
  <c r="M20" i="73"/>
  <c r="W19" i="73"/>
  <c r="U19" i="73"/>
  <c r="S19" i="73"/>
  <c r="Q19" i="73"/>
  <c r="O19" i="73"/>
  <c r="M19" i="73"/>
  <c r="W18" i="73"/>
  <c r="U18" i="73"/>
  <c r="S18" i="73"/>
  <c r="Q18" i="73"/>
  <c r="O18" i="73"/>
  <c r="M18" i="73"/>
  <c r="W17" i="73"/>
  <c r="U17" i="73"/>
  <c r="S17" i="73"/>
  <c r="Q17" i="73"/>
  <c r="O17" i="73"/>
  <c r="M17" i="73"/>
  <c r="W16" i="73"/>
  <c r="U16" i="73"/>
  <c r="S16" i="73"/>
  <c r="Q16" i="73"/>
  <c r="O16" i="73"/>
  <c r="M16" i="73"/>
  <c r="W15" i="73"/>
  <c r="U15" i="73"/>
  <c r="S15" i="73"/>
  <c r="Q15" i="73"/>
  <c r="O15" i="73"/>
  <c r="M15" i="73"/>
  <c r="W14" i="73"/>
  <c r="U14" i="73"/>
  <c r="S14" i="73"/>
  <c r="Q14" i="73"/>
  <c r="O14" i="73"/>
  <c r="M14" i="73"/>
  <c r="W13" i="73"/>
  <c r="U13" i="73"/>
  <c r="S13" i="73"/>
  <c r="Q13" i="73"/>
  <c r="O13" i="73"/>
  <c r="M13" i="73"/>
  <c r="W12" i="73"/>
  <c r="U12" i="73"/>
  <c r="S12" i="73"/>
  <c r="Q12" i="73"/>
  <c r="O12" i="73"/>
  <c r="M12" i="73"/>
  <c r="W11" i="73"/>
  <c r="U11" i="73"/>
  <c r="S11" i="73"/>
  <c r="Q11" i="73"/>
  <c r="O11" i="73"/>
  <c r="M11" i="73"/>
  <c r="W10" i="73"/>
  <c r="U10" i="73"/>
  <c r="S10" i="73"/>
  <c r="Q10" i="73"/>
  <c r="O10" i="73"/>
  <c r="M10" i="73"/>
  <c r="W9" i="73"/>
  <c r="U9" i="73"/>
  <c r="S9" i="73"/>
  <c r="Q9" i="73"/>
  <c r="O9" i="73"/>
  <c r="M9" i="73"/>
  <c r="W33" i="72"/>
  <c r="U33" i="72"/>
  <c r="S33" i="72"/>
  <c r="Q33" i="72"/>
  <c r="O33" i="72"/>
  <c r="M33" i="72"/>
  <c r="W31" i="72"/>
  <c r="U31" i="72"/>
  <c r="S31" i="72"/>
  <c r="Q31" i="72"/>
  <c r="O31" i="72"/>
  <c r="M31" i="72"/>
  <c r="W30" i="72"/>
  <c r="U30" i="72"/>
  <c r="S30" i="72"/>
  <c r="Q30" i="72"/>
  <c r="O30" i="72"/>
  <c r="M30" i="72"/>
  <c r="W29" i="72"/>
  <c r="U29" i="72"/>
  <c r="S29" i="72"/>
  <c r="Q29" i="72"/>
  <c r="O29" i="72"/>
  <c r="M29" i="72"/>
  <c r="W28" i="72"/>
  <c r="U28" i="72"/>
  <c r="S28" i="72"/>
  <c r="Q28" i="72"/>
  <c r="O28" i="72"/>
  <c r="M28" i="72"/>
  <c r="W27" i="72"/>
  <c r="U27" i="72"/>
  <c r="S27" i="72"/>
  <c r="Q27" i="72"/>
  <c r="O27" i="72"/>
  <c r="M27" i="72"/>
  <c r="W26" i="72"/>
  <c r="U26" i="72"/>
  <c r="S26" i="72"/>
  <c r="Q26" i="72"/>
  <c r="O26" i="72"/>
  <c r="M26" i="72"/>
  <c r="W25" i="72"/>
  <c r="U25" i="72"/>
  <c r="S25" i="72"/>
  <c r="Q25" i="72"/>
  <c r="O25" i="72"/>
  <c r="M25" i="72"/>
  <c r="W24" i="72"/>
  <c r="U24" i="72"/>
  <c r="S24" i="72"/>
  <c r="Q24" i="72"/>
  <c r="O24" i="72"/>
  <c r="M24" i="72"/>
  <c r="W23" i="72"/>
  <c r="U23" i="72"/>
  <c r="S23" i="72"/>
  <c r="Q23" i="72"/>
  <c r="O23" i="72"/>
  <c r="M23" i="72"/>
  <c r="W22" i="72"/>
  <c r="U22" i="72"/>
  <c r="S22" i="72"/>
  <c r="Q22" i="72"/>
  <c r="O22" i="72"/>
  <c r="M22" i="72"/>
  <c r="W21" i="72"/>
  <c r="U21" i="72"/>
  <c r="S21" i="72"/>
  <c r="Q21" i="72"/>
  <c r="O21" i="72"/>
  <c r="M21" i="72"/>
  <c r="W20" i="72"/>
  <c r="U20" i="72"/>
  <c r="S20" i="72"/>
  <c r="Q20" i="72"/>
  <c r="O20" i="72"/>
  <c r="M20" i="72"/>
  <c r="W19" i="72"/>
  <c r="U19" i="72"/>
  <c r="S19" i="72"/>
  <c r="Q19" i="72"/>
  <c r="O19" i="72"/>
  <c r="M19" i="72"/>
  <c r="W18" i="72"/>
  <c r="U18" i="72"/>
  <c r="S18" i="72"/>
  <c r="Q18" i="72"/>
  <c r="O18" i="72"/>
  <c r="M18" i="72"/>
  <c r="W17" i="72"/>
  <c r="U17" i="72"/>
  <c r="S17" i="72"/>
  <c r="Q17" i="72"/>
  <c r="O17" i="72"/>
  <c r="M17" i="72"/>
  <c r="W16" i="72"/>
  <c r="U16" i="72"/>
  <c r="S16" i="72"/>
  <c r="Q16" i="72"/>
  <c r="O16" i="72"/>
  <c r="M16" i="72"/>
  <c r="W15" i="72"/>
  <c r="U15" i="72"/>
  <c r="S15" i="72"/>
  <c r="Q15" i="72"/>
  <c r="O15" i="72"/>
  <c r="M15" i="72"/>
  <c r="W14" i="72"/>
  <c r="U14" i="72"/>
  <c r="S14" i="72"/>
  <c r="Q14" i="72"/>
  <c r="O14" i="72"/>
  <c r="M14" i="72"/>
  <c r="W13" i="72"/>
  <c r="U13" i="72"/>
  <c r="S13" i="72"/>
  <c r="Q13" i="72"/>
  <c r="O13" i="72"/>
  <c r="M13" i="72"/>
  <c r="W12" i="72"/>
  <c r="U12" i="72"/>
  <c r="S12" i="72"/>
  <c r="Q12" i="72"/>
  <c r="O12" i="72"/>
  <c r="M12" i="72"/>
  <c r="W11" i="72"/>
  <c r="U11" i="72"/>
  <c r="S11" i="72"/>
  <c r="Q11" i="72"/>
  <c r="O11" i="72"/>
  <c r="M11" i="72"/>
  <c r="W10" i="72"/>
  <c r="U10" i="72"/>
  <c r="S10" i="72"/>
  <c r="Q10" i="72"/>
  <c r="O10" i="72"/>
  <c r="M10" i="72"/>
  <c r="W9" i="72"/>
  <c r="U9" i="72"/>
  <c r="S9" i="72"/>
  <c r="Q9" i="72"/>
  <c r="O9" i="72"/>
  <c r="M9" i="72"/>
  <c r="W33" i="71"/>
  <c r="U33" i="71"/>
  <c r="S33" i="71"/>
  <c r="Q33" i="71"/>
  <c r="O33" i="71"/>
  <c r="M33" i="71"/>
  <c r="W31" i="71"/>
  <c r="U31" i="71"/>
  <c r="S31" i="71"/>
  <c r="Q31" i="71"/>
  <c r="O31" i="71"/>
  <c r="M31" i="71"/>
  <c r="W30" i="71"/>
  <c r="U30" i="71"/>
  <c r="S30" i="71"/>
  <c r="Q30" i="71"/>
  <c r="O30" i="71"/>
  <c r="M30" i="71"/>
  <c r="W29" i="71"/>
  <c r="U29" i="71"/>
  <c r="S29" i="71"/>
  <c r="Q29" i="71"/>
  <c r="O29" i="71"/>
  <c r="M29" i="71"/>
  <c r="W28" i="71"/>
  <c r="U28" i="71"/>
  <c r="S28" i="71"/>
  <c r="Q28" i="71"/>
  <c r="O28" i="71"/>
  <c r="M28" i="71"/>
  <c r="W27" i="71"/>
  <c r="U27" i="71"/>
  <c r="S27" i="71"/>
  <c r="Q27" i="71"/>
  <c r="O27" i="71"/>
  <c r="M27" i="71"/>
  <c r="W26" i="71"/>
  <c r="U26" i="71"/>
  <c r="S26" i="71"/>
  <c r="Q26" i="71"/>
  <c r="O26" i="71"/>
  <c r="M26" i="71"/>
  <c r="W25" i="71"/>
  <c r="U25" i="71"/>
  <c r="S25" i="71"/>
  <c r="Q25" i="71"/>
  <c r="O25" i="71"/>
  <c r="M25" i="71"/>
  <c r="W24" i="71"/>
  <c r="U24" i="71"/>
  <c r="S24" i="71"/>
  <c r="Q24" i="71"/>
  <c r="O24" i="71"/>
  <c r="M24" i="71"/>
  <c r="W23" i="71"/>
  <c r="U23" i="71"/>
  <c r="S23" i="71"/>
  <c r="Q23" i="71"/>
  <c r="O23" i="71"/>
  <c r="M23" i="71"/>
  <c r="W22" i="71"/>
  <c r="U22" i="71"/>
  <c r="S22" i="71"/>
  <c r="Q22" i="71"/>
  <c r="O22" i="71"/>
  <c r="M22" i="71"/>
  <c r="W21" i="71"/>
  <c r="U21" i="71"/>
  <c r="S21" i="71"/>
  <c r="Q21" i="71"/>
  <c r="O21" i="71"/>
  <c r="M21" i="71"/>
  <c r="W20" i="71"/>
  <c r="U20" i="71"/>
  <c r="S20" i="71"/>
  <c r="Q20" i="71"/>
  <c r="O20" i="71"/>
  <c r="M20" i="71"/>
  <c r="W19" i="71"/>
  <c r="U19" i="71"/>
  <c r="S19" i="71"/>
  <c r="Q19" i="71"/>
  <c r="O19" i="71"/>
  <c r="M19" i="71"/>
  <c r="W18" i="71"/>
  <c r="U18" i="71"/>
  <c r="S18" i="71"/>
  <c r="Q18" i="71"/>
  <c r="O18" i="71"/>
  <c r="M18" i="71"/>
  <c r="W17" i="71"/>
  <c r="U17" i="71"/>
  <c r="S17" i="71"/>
  <c r="Q17" i="71"/>
  <c r="O17" i="71"/>
  <c r="M17" i="71"/>
  <c r="W16" i="71"/>
  <c r="U16" i="71"/>
  <c r="S16" i="71"/>
  <c r="Q16" i="71"/>
  <c r="O16" i="71"/>
  <c r="M16" i="71"/>
  <c r="W15" i="71"/>
  <c r="U15" i="71"/>
  <c r="S15" i="71"/>
  <c r="Q15" i="71"/>
  <c r="O15" i="71"/>
  <c r="M15" i="71"/>
  <c r="W14" i="71"/>
  <c r="U14" i="71"/>
  <c r="S14" i="71"/>
  <c r="Q14" i="71"/>
  <c r="O14" i="71"/>
  <c r="M14" i="71"/>
  <c r="W13" i="71"/>
  <c r="U13" i="71"/>
  <c r="S13" i="71"/>
  <c r="Q13" i="71"/>
  <c r="O13" i="71"/>
  <c r="M13" i="71"/>
  <c r="W12" i="71"/>
  <c r="U12" i="71"/>
  <c r="S12" i="71"/>
  <c r="Q12" i="71"/>
  <c r="O12" i="71"/>
  <c r="M12" i="71"/>
  <c r="W11" i="71"/>
  <c r="U11" i="71"/>
  <c r="S11" i="71"/>
  <c r="Q11" i="71"/>
  <c r="O11" i="71"/>
  <c r="M11" i="71"/>
  <c r="W10" i="71"/>
  <c r="U10" i="71"/>
  <c r="S10" i="71"/>
  <c r="Q10" i="71"/>
  <c r="O10" i="71"/>
  <c r="M10" i="71"/>
  <c r="W9" i="71"/>
  <c r="U9" i="71"/>
  <c r="S9" i="71"/>
  <c r="Q9" i="71"/>
  <c r="O9" i="71"/>
  <c r="M9" i="71"/>
  <c r="W33" i="70"/>
  <c r="U33" i="70"/>
  <c r="S33" i="70"/>
  <c r="Q33" i="70"/>
  <c r="O33" i="70"/>
  <c r="M33" i="70"/>
  <c r="W31" i="70"/>
  <c r="U31" i="70"/>
  <c r="S31" i="70"/>
  <c r="Q31" i="70"/>
  <c r="O31" i="70"/>
  <c r="M31" i="70"/>
  <c r="W30" i="70"/>
  <c r="U30" i="70"/>
  <c r="S30" i="70"/>
  <c r="Q30" i="70"/>
  <c r="O30" i="70"/>
  <c r="M30" i="70"/>
  <c r="W29" i="70"/>
  <c r="U29" i="70"/>
  <c r="S29" i="70"/>
  <c r="Q29" i="70"/>
  <c r="O29" i="70"/>
  <c r="M29" i="70"/>
  <c r="W28" i="70"/>
  <c r="U28" i="70"/>
  <c r="S28" i="70"/>
  <c r="Q28" i="70"/>
  <c r="O28" i="70"/>
  <c r="M28" i="70"/>
  <c r="W27" i="70"/>
  <c r="U27" i="70"/>
  <c r="S27" i="70"/>
  <c r="Q27" i="70"/>
  <c r="O27" i="70"/>
  <c r="M27" i="70"/>
  <c r="W26" i="70"/>
  <c r="U26" i="70"/>
  <c r="S26" i="70"/>
  <c r="Q26" i="70"/>
  <c r="O26" i="70"/>
  <c r="M26" i="70"/>
  <c r="W25" i="70"/>
  <c r="U25" i="70"/>
  <c r="S25" i="70"/>
  <c r="Q25" i="70"/>
  <c r="O25" i="70"/>
  <c r="M25" i="70"/>
  <c r="W24" i="70"/>
  <c r="U24" i="70"/>
  <c r="S24" i="70"/>
  <c r="Q24" i="70"/>
  <c r="O24" i="70"/>
  <c r="M24" i="70"/>
  <c r="W23" i="70"/>
  <c r="U23" i="70"/>
  <c r="S23" i="70"/>
  <c r="Q23" i="70"/>
  <c r="O23" i="70"/>
  <c r="M23" i="70"/>
  <c r="W22" i="70"/>
  <c r="U22" i="70"/>
  <c r="S22" i="70"/>
  <c r="Q22" i="70"/>
  <c r="O22" i="70"/>
  <c r="M22" i="70"/>
  <c r="W21" i="70"/>
  <c r="U21" i="70"/>
  <c r="S21" i="70"/>
  <c r="Q21" i="70"/>
  <c r="O21" i="70"/>
  <c r="M21" i="70"/>
  <c r="W20" i="70"/>
  <c r="U20" i="70"/>
  <c r="S20" i="70"/>
  <c r="Q20" i="70"/>
  <c r="O20" i="70"/>
  <c r="M20" i="70"/>
  <c r="W19" i="70"/>
  <c r="U19" i="70"/>
  <c r="S19" i="70"/>
  <c r="Q19" i="70"/>
  <c r="O19" i="70"/>
  <c r="M19" i="70"/>
  <c r="W18" i="70"/>
  <c r="U18" i="70"/>
  <c r="S18" i="70"/>
  <c r="Q18" i="70"/>
  <c r="O18" i="70"/>
  <c r="M18" i="70"/>
  <c r="W17" i="70"/>
  <c r="U17" i="70"/>
  <c r="S17" i="70"/>
  <c r="Q17" i="70"/>
  <c r="O17" i="70"/>
  <c r="M17" i="70"/>
  <c r="W16" i="70"/>
  <c r="U16" i="70"/>
  <c r="S16" i="70"/>
  <c r="Q16" i="70"/>
  <c r="O16" i="70"/>
  <c r="M16" i="70"/>
  <c r="W15" i="70"/>
  <c r="U15" i="70"/>
  <c r="S15" i="70"/>
  <c r="Q15" i="70"/>
  <c r="O15" i="70"/>
  <c r="M15" i="70"/>
  <c r="W14" i="70"/>
  <c r="U14" i="70"/>
  <c r="S14" i="70"/>
  <c r="Q14" i="70"/>
  <c r="O14" i="70"/>
  <c r="M14" i="70"/>
  <c r="W13" i="70"/>
  <c r="U13" i="70"/>
  <c r="S13" i="70"/>
  <c r="Q13" i="70"/>
  <c r="O13" i="70"/>
  <c r="M13" i="70"/>
  <c r="W12" i="70"/>
  <c r="U12" i="70"/>
  <c r="S12" i="70"/>
  <c r="Q12" i="70"/>
  <c r="O12" i="70"/>
  <c r="M12" i="70"/>
  <c r="W11" i="70"/>
  <c r="U11" i="70"/>
  <c r="S11" i="70"/>
  <c r="Q11" i="70"/>
  <c r="O11" i="70"/>
  <c r="M11" i="70"/>
  <c r="W10" i="70"/>
  <c r="U10" i="70"/>
  <c r="S10" i="70"/>
  <c r="Q10" i="70"/>
  <c r="O10" i="70"/>
  <c r="M10" i="70"/>
  <c r="W9" i="70"/>
  <c r="U9" i="70"/>
  <c r="S9" i="70"/>
  <c r="Q9" i="70"/>
  <c r="O9" i="70"/>
  <c r="M9" i="70"/>
  <c r="W33" i="69"/>
  <c r="U33" i="69"/>
  <c r="S33" i="69"/>
  <c r="Q33" i="69"/>
  <c r="O33" i="69"/>
  <c r="M33" i="69"/>
  <c r="W31" i="69"/>
  <c r="U31" i="69"/>
  <c r="S31" i="69"/>
  <c r="Q31" i="69"/>
  <c r="O31" i="69"/>
  <c r="M31" i="69"/>
  <c r="W30" i="69"/>
  <c r="U30" i="69"/>
  <c r="S30" i="69"/>
  <c r="Q30" i="69"/>
  <c r="O30" i="69"/>
  <c r="M30" i="69"/>
  <c r="W29" i="69"/>
  <c r="U29" i="69"/>
  <c r="S29" i="69"/>
  <c r="Q29" i="69"/>
  <c r="O29" i="69"/>
  <c r="M29" i="69"/>
  <c r="W28" i="69"/>
  <c r="U28" i="69"/>
  <c r="S28" i="69"/>
  <c r="Q28" i="69"/>
  <c r="O28" i="69"/>
  <c r="M28" i="69"/>
  <c r="W27" i="69"/>
  <c r="U27" i="69"/>
  <c r="S27" i="69"/>
  <c r="Q27" i="69"/>
  <c r="O27" i="69"/>
  <c r="M27" i="69"/>
  <c r="W26" i="69"/>
  <c r="U26" i="69"/>
  <c r="S26" i="69"/>
  <c r="Q26" i="69"/>
  <c r="O26" i="69"/>
  <c r="M26" i="69"/>
  <c r="W25" i="69"/>
  <c r="U25" i="69"/>
  <c r="S25" i="69"/>
  <c r="Q25" i="69"/>
  <c r="O25" i="69"/>
  <c r="M25" i="69"/>
  <c r="W24" i="69"/>
  <c r="U24" i="69"/>
  <c r="S24" i="69"/>
  <c r="Q24" i="69"/>
  <c r="O24" i="69"/>
  <c r="M24" i="69"/>
  <c r="W23" i="69"/>
  <c r="U23" i="69"/>
  <c r="S23" i="69"/>
  <c r="Q23" i="69"/>
  <c r="O23" i="69"/>
  <c r="M23" i="69"/>
  <c r="W22" i="69"/>
  <c r="U22" i="69"/>
  <c r="S22" i="69"/>
  <c r="Q22" i="69"/>
  <c r="O22" i="69"/>
  <c r="M22" i="69"/>
  <c r="W21" i="69"/>
  <c r="U21" i="69"/>
  <c r="S21" i="69"/>
  <c r="Q21" i="69"/>
  <c r="O21" i="69"/>
  <c r="M21" i="69"/>
  <c r="W20" i="69"/>
  <c r="U20" i="69"/>
  <c r="S20" i="69"/>
  <c r="Q20" i="69"/>
  <c r="O20" i="69"/>
  <c r="M20" i="69"/>
  <c r="W19" i="69"/>
  <c r="U19" i="69"/>
  <c r="S19" i="69"/>
  <c r="Q19" i="69"/>
  <c r="O19" i="69"/>
  <c r="M19" i="69"/>
  <c r="W18" i="69"/>
  <c r="U18" i="69"/>
  <c r="S18" i="69"/>
  <c r="Q18" i="69"/>
  <c r="O18" i="69"/>
  <c r="M18" i="69"/>
  <c r="W17" i="69"/>
  <c r="U17" i="69"/>
  <c r="S17" i="69"/>
  <c r="Q17" i="69"/>
  <c r="O17" i="69"/>
  <c r="M17" i="69"/>
  <c r="W16" i="69"/>
  <c r="U16" i="69"/>
  <c r="S16" i="69"/>
  <c r="Q16" i="69"/>
  <c r="O16" i="69"/>
  <c r="M16" i="69"/>
  <c r="W15" i="69"/>
  <c r="U15" i="69"/>
  <c r="S15" i="69"/>
  <c r="Q15" i="69"/>
  <c r="O15" i="69"/>
  <c r="M15" i="69"/>
  <c r="W14" i="69"/>
  <c r="U14" i="69"/>
  <c r="S14" i="69"/>
  <c r="Q14" i="69"/>
  <c r="O14" i="69"/>
  <c r="M14" i="69"/>
  <c r="W13" i="69"/>
  <c r="U13" i="69"/>
  <c r="S13" i="69"/>
  <c r="Q13" i="69"/>
  <c r="O13" i="69"/>
  <c r="M13" i="69"/>
  <c r="W12" i="69"/>
  <c r="U12" i="69"/>
  <c r="S12" i="69"/>
  <c r="Q12" i="69"/>
  <c r="O12" i="69"/>
  <c r="M12" i="69"/>
  <c r="W11" i="69"/>
  <c r="U11" i="69"/>
  <c r="S11" i="69"/>
  <c r="Q11" i="69"/>
  <c r="O11" i="69"/>
  <c r="M11" i="69"/>
  <c r="W10" i="69"/>
  <c r="U10" i="69"/>
  <c r="S10" i="69"/>
  <c r="Q10" i="69"/>
  <c r="O10" i="69"/>
  <c r="M10" i="69"/>
  <c r="W9" i="69"/>
  <c r="U9" i="69"/>
  <c r="S9" i="69"/>
  <c r="Q9" i="69"/>
  <c r="O9" i="69"/>
  <c r="M9" i="69"/>
  <c r="W33" i="68"/>
  <c r="U33" i="68"/>
  <c r="S33" i="68"/>
  <c r="Q33" i="68"/>
  <c r="O33" i="68"/>
  <c r="M33" i="68"/>
  <c r="W31" i="68"/>
  <c r="U31" i="68"/>
  <c r="S31" i="68"/>
  <c r="Q31" i="68"/>
  <c r="O31" i="68"/>
  <c r="M31" i="68"/>
  <c r="W30" i="68"/>
  <c r="U30" i="68"/>
  <c r="S30" i="68"/>
  <c r="Q30" i="68"/>
  <c r="O30" i="68"/>
  <c r="M30" i="68"/>
  <c r="W29" i="68"/>
  <c r="U29" i="68"/>
  <c r="S29" i="68"/>
  <c r="Q29" i="68"/>
  <c r="O29" i="68"/>
  <c r="M29" i="68"/>
  <c r="W28" i="68"/>
  <c r="U28" i="68"/>
  <c r="S28" i="68"/>
  <c r="Q28" i="68"/>
  <c r="O28" i="68"/>
  <c r="M28" i="68"/>
  <c r="W27" i="68"/>
  <c r="U27" i="68"/>
  <c r="S27" i="68"/>
  <c r="Q27" i="68"/>
  <c r="O27" i="68"/>
  <c r="M27" i="68"/>
  <c r="W26" i="68"/>
  <c r="U26" i="68"/>
  <c r="S26" i="68"/>
  <c r="Q26" i="68"/>
  <c r="O26" i="68"/>
  <c r="M26" i="68"/>
  <c r="W25" i="68"/>
  <c r="U25" i="68"/>
  <c r="S25" i="68"/>
  <c r="Q25" i="68"/>
  <c r="O25" i="68"/>
  <c r="M25" i="68"/>
  <c r="W24" i="68"/>
  <c r="U24" i="68"/>
  <c r="S24" i="68"/>
  <c r="Q24" i="68"/>
  <c r="O24" i="68"/>
  <c r="M24" i="68"/>
  <c r="W23" i="68"/>
  <c r="U23" i="68"/>
  <c r="S23" i="68"/>
  <c r="Q23" i="68"/>
  <c r="O23" i="68"/>
  <c r="M23" i="68"/>
  <c r="W22" i="68"/>
  <c r="U22" i="68"/>
  <c r="S22" i="68"/>
  <c r="Q22" i="68"/>
  <c r="O22" i="68"/>
  <c r="M22" i="68"/>
  <c r="W21" i="68"/>
  <c r="U21" i="68"/>
  <c r="S21" i="68"/>
  <c r="Q21" i="68"/>
  <c r="O21" i="68"/>
  <c r="M21" i="68"/>
  <c r="W20" i="68"/>
  <c r="U20" i="68"/>
  <c r="S20" i="68"/>
  <c r="Q20" i="68"/>
  <c r="O20" i="68"/>
  <c r="M20" i="68"/>
  <c r="W19" i="68"/>
  <c r="U19" i="68"/>
  <c r="S19" i="68"/>
  <c r="Q19" i="68"/>
  <c r="O19" i="68"/>
  <c r="M19" i="68"/>
  <c r="W18" i="68"/>
  <c r="U18" i="68"/>
  <c r="S18" i="68"/>
  <c r="Q18" i="68"/>
  <c r="O18" i="68"/>
  <c r="M18" i="68"/>
  <c r="W17" i="68"/>
  <c r="U17" i="68"/>
  <c r="S17" i="68"/>
  <c r="Q17" i="68"/>
  <c r="O17" i="68"/>
  <c r="M17" i="68"/>
  <c r="W16" i="68"/>
  <c r="U16" i="68"/>
  <c r="S16" i="68"/>
  <c r="Q16" i="68"/>
  <c r="O16" i="68"/>
  <c r="M16" i="68"/>
  <c r="W15" i="68"/>
  <c r="U15" i="68"/>
  <c r="S15" i="68"/>
  <c r="Q15" i="68"/>
  <c r="O15" i="68"/>
  <c r="M15" i="68"/>
  <c r="W14" i="68"/>
  <c r="U14" i="68"/>
  <c r="S14" i="68"/>
  <c r="Q14" i="68"/>
  <c r="O14" i="68"/>
  <c r="M14" i="68"/>
  <c r="W13" i="68"/>
  <c r="U13" i="68"/>
  <c r="S13" i="68"/>
  <c r="Q13" i="68"/>
  <c r="O13" i="68"/>
  <c r="M13" i="68"/>
  <c r="W12" i="68"/>
  <c r="U12" i="68"/>
  <c r="S12" i="68"/>
  <c r="Q12" i="68"/>
  <c r="O12" i="68"/>
  <c r="M12" i="68"/>
  <c r="W11" i="68"/>
  <c r="U11" i="68"/>
  <c r="S11" i="68"/>
  <c r="Q11" i="68"/>
  <c r="O11" i="68"/>
  <c r="M11" i="68"/>
  <c r="W10" i="68"/>
  <c r="U10" i="68"/>
  <c r="S10" i="68"/>
  <c r="Q10" i="68"/>
  <c r="O10" i="68"/>
  <c r="M10" i="68"/>
  <c r="W9" i="68"/>
  <c r="U9" i="68"/>
  <c r="S9" i="68"/>
  <c r="Q9" i="68"/>
  <c r="O9" i="68"/>
  <c r="M9" i="68"/>
  <c r="W33" i="67"/>
  <c r="U33" i="67"/>
  <c r="S33" i="67"/>
  <c r="Q33" i="67"/>
  <c r="O33" i="67"/>
  <c r="M33" i="67"/>
  <c r="W31" i="67"/>
  <c r="U31" i="67"/>
  <c r="S31" i="67"/>
  <c r="Q31" i="67"/>
  <c r="O31" i="67"/>
  <c r="M31" i="67"/>
  <c r="W30" i="67"/>
  <c r="U30" i="67"/>
  <c r="S30" i="67"/>
  <c r="Q30" i="67"/>
  <c r="O30" i="67"/>
  <c r="M30" i="67"/>
  <c r="W29" i="67"/>
  <c r="U29" i="67"/>
  <c r="S29" i="67"/>
  <c r="Q29" i="67"/>
  <c r="O29" i="67"/>
  <c r="M29" i="67"/>
  <c r="W28" i="67"/>
  <c r="U28" i="67"/>
  <c r="S28" i="67"/>
  <c r="Q28" i="67"/>
  <c r="O28" i="67"/>
  <c r="M28" i="67"/>
  <c r="W27" i="67"/>
  <c r="U27" i="67"/>
  <c r="S27" i="67"/>
  <c r="Q27" i="67"/>
  <c r="O27" i="67"/>
  <c r="M27" i="67"/>
  <c r="W26" i="67"/>
  <c r="U26" i="67"/>
  <c r="S26" i="67"/>
  <c r="Q26" i="67"/>
  <c r="O26" i="67"/>
  <c r="M26" i="67"/>
  <c r="W25" i="67"/>
  <c r="U25" i="67"/>
  <c r="S25" i="67"/>
  <c r="Q25" i="67"/>
  <c r="O25" i="67"/>
  <c r="M25" i="67"/>
  <c r="W24" i="67"/>
  <c r="U24" i="67"/>
  <c r="S24" i="67"/>
  <c r="Q24" i="67"/>
  <c r="O24" i="67"/>
  <c r="M24" i="67"/>
  <c r="W23" i="67"/>
  <c r="U23" i="67"/>
  <c r="S23" i="67"/>
  <c r="Q23" i="67"/>
  <c r="O23" i="67"/>
  <c r="M23" i="67"/>
  <c r="W22" i="67"/>
  <c r="U22" i="67"/>
  <c r="S22" i="67"/>
  <c r="Q22" i="67"/>
  <c r="O22" i="67"/>
  <c r="M22" i="67"/>
  <c r="W21" i="67"/>
  <c r="U21" i="67"/>
  <c r="S21" i="67"/>
  <c r="Q21" i="67"/>
  <c r="O21" i="67"/>
  <c r="M21" i="67"/>
  <c r="W20" i="67"/>
  <c r="U20" i="67"/>
  <c r="S20" i="67"/>
  <c r="Q20" i="67"/>
  <c r="O20" i="67"/>
  <c r="M20" i="67"/>
  <c r="W19" i="67"/>
  <c r="U19" i="67"/>
  <c r="S19" i="67"/>
  <c r="Q19" i="67"/>
  <c r="O19" i="67"/>
  <c r="M19" i="67"/>
  <c r="W18" i="67"/>
  <c r="U18" i="67"/>
  <c r="S18" i="67"/>
  <c r="Q18" i="67"/>
  <c r="O18" i="67"/>
  <c r="M18" i="67"/>
  <c r="W17" i="67"/>
  <c r="U17" i="67"/>
  <c r="S17" i="67"/>
  <c r="Q17" i="67"/>
  <c r="O17" i="67"/>
  <c r="M17" i="67"/>
  <c r="W16" i="67"/>
  <c r="U16" i="67"/>
  <c r="S16" i="67"/>
  <c r="Q16" i="67"/>
  <c r="O16" i="67"/>
  <c r="M16" i="67"/>
  <c r="W15" i="67"/>
  <c r="U15" i="67"/>
  <c r="S15" i="67"/>
  <c r="Q15" i="67"/>
  <c r="O15" i="67"/>
  <c r="M15" i="67"/>
  <c r="W14" i="67"/>
  <c r="U14" i="67"/>
  <c r="S14" i="67"/>
  <c r="Q14" i="67"/>
  <c r="O14" i="67"/>
  <c r="M14" i="67"/>
  <c r="W13" i="67"/>
  <c r="U13" i="67"/>
  <c r="S13" i="67"/>
  <c r="Q13" i="67"/>
  <c r="O13" i="67"/>
  <c r="M13" i="67"/>
  <c r="W12" i="67"/>
  <c r="U12" i="67"/>
  <c r="S12" i="67"/>
  <c r="Q12" i="67"/>
  <c r="O12" i="67"/>
  <c r="M12" i="67"/>
  <c r="W11" i="67"/>
  <c r="U11" i="67"/>
  <c r="S11" i="67"/>
  <c r="Q11" i="67"/>
  <c r="O11" i="67"/>
  <c r="M11" i="67"/>
  <c r="W10" i="67"/>
  <c r="U10" i="67"/>
  <c r="S10" i="67"/>
  <c r="Q10" i="67"/>
  <c r="O10" i="67"/>
  <c r="M10" i="67"/>
  <c r="W9" i="67"/>
  <c r="U9" i="67"/>
  <c r="S9" i="67"/>
  <c r="Q9" i="67"/>
  <c r="O9" i="67"/>
  <c r="M9" i="67"/>
  <c r="W33" i="66"/>
  <c r="U33" i="66"/>
  <c r="S33" i="66"/>
  <c r="Q33" i="66"/>
  <c r="O33" i="66"/>
  <c r="M33" i="66"/>
  <c r="W31" i="66"/>
  <c r="U31" i="66"/>
  <c r="S31" i="66"/>
  <c r="Q31" i="66"/>
  <c r="O31" i="66"/>
  <c r="M31" i="66"/>
  <c r="W30" i="66"/>
  <c r="U30" i="66"/>
  <c r="S30" i="66"/>
  <c r="Q30" i="66"/>
  <c r="O30" i="66"/>
  <c r="M30" i="66"/>
  <c r="W29" i="66"/>
  <c r="U29" i="66"/>
  <c r="S29" i="66"/>
  <c r="Q29" i="66"/>
  <c r="O29" i="66"/>
  <c r="M29" i="66"/>
  <c r="W28" i="66"/>
  <c r="U28" i="66"/>
  <c r="S28" i="66"/>
  <c r="Q28" i="66"/>
  <c r="O28" i="66"/>
  <c r="M28" i="66"/>
  <c r="W27" i="66"/>
  <c r="U27" i="66"/>
  <c r="S27" i="66"/>
  <c r="Q27" i="66"/>
  <c r="O27" i="66"/>
  <c r="M27" i="66"/>
  <c r="W26" i="66"/>
  <c r="U26" i="66"/>
  <c r="S26" i="66"/>
  <c r="Q26" i="66"/>
  <c r="O26" i="66"/>
  <c r="M26" i="66"/>
  <c r="W25" i="66"/>
  <c r="U25" i="66"/>
  <c r="S25" i="66"/>
  <c r="Q25" i="66"/>
  <c r="O25" i="66"/>
  <c r="M25" i="66"/>
  <c r="W24" i="66"/>
  <c r="U24" i="66"/>
  <c r="S24" i="66"/>
  <c r="Q24" i="66"/>
  <c r="O24" i="66"/>
  <c r="M24" i="66"/>
  <c r="W23" i="66"/>
  <c r="U23" i="66"/>
  <c r="S23" i="66"/>
  <c r="Q23" i="66"/>
  <c r="O23" i="66"/>
  <c r="M23" i="66"/>
  <c r="W22" i="66"/>
  <c r="U22" i="66"/>
  <c r="S22" i="66"/>
  <c r="Q22" i="66"/>
  <c r="O22" i="66"/>
  <c r="M22" i="66"/>
  <c r="W21" i="66"/>
  <c r="U21" i="66"/>
  <c r="S21" i="66"/>
  <c r="Q21" i="66"/>
  <c r="O21" i="66"/>
  <c r="M21" i="66"/>
  <c r="W20" i="66"/>
  <c r="U20" i="66"/>
  <c r="S20" i="66"/>
  <c r="Q20" i="66"/>
  <c r="O20" i="66"/>
  <c r="M20" i="66"/>
  <c r="W19" i="66"/>
  <c r="U19" i="66"/>
  <c r="S19" i="66"/>
  <c r="Q19" i="66"/>
  <c r="O19" i="66"/>
  <c r="M19" i="66"/>
  <c r="W18" i="66"/>
  <c r="U18" i="66"/>
  <c r="S18" i="66"/>
  <c r="Q18" i="66"/>
  <c r="O18" i="66"/>
  <c r="M18" i="66"/>
  <c r="W17" i="66"/>
  <c r="U17" i="66"/>
  <c r="S17" i="66"/>
  <c r="Q17" i="66"/>
  <c r="O17" i="66"/>
  <c r="M17" i="66"/>
  <c r="W16" i="66"/>
  <c r="U16" i="66"/>
  <c r="S16" i="66"/>
  <c r="Q16" i="66"/>
  <c r="O16" i="66"/>
  <c r="M16" i="66"/>
  <c r="W15" i="66"/>
  <c r="U15" i="66"/>
  <c r="S15" i="66"/>
  <c r="Q15" i="66"/>
  <c r="O15" i="66"/>
  <c r="M15" i="66"/>
  <c r="W14" i="66"/>
  <c r="U14" i="66"/>
  <c r="S14" i="66"/>
  <c r="Q14" i="66"/>
  <c r="O14" i="66"/>
  <c r="M14" i="66"/>
  <c r="W13" i="66"/>
  <c r="U13" i="66"/>
  <c r="S13" i="66"/>
  <c r="Q13" i="66"/>
  <c r="O13" i="66"/>
  <c r="M13" i="66"/>
  <c r="W12" i="66"/>
  <c r="U12" i="66"/>
  <c r="S12" i="66"/>
  <c r="Q12" i="66"/>
  <c r="O12" i="66"/>
  <c r="M12" i="66"/>
  <c r="W11" i="66"/>
  <c r="U11" i="66"/>
  <c r="S11" i="66"/>
  <c r="Q11" i="66"/>
  <c r="O11" i="66"/>
  <c r="M11" i="66"/>
  <c r="W10" i="66"/>
  <c r="U10" i="66"/>
  <c r="S10" i="66"/>
  <c r="Q10" i="66"/>
  <c r="O10" i="66"/>
  <c r="M10" i="66"/>
  <c r="W9" i="66"/>
  <c r="U9" i="66"/>
  <c r="S9" i="66"/>
  <c r="Q9" i="66"/>
  <c r="O9" i="66"/>
  <c r="M9" i="66"/>
  <c r="W33" i="65"/>
  <c r="U33" i="65"/>
  <c r="S33" i="65"/>
  <c r="Q33" i="65"/>
  <c r="O33" i="65"/>
  <c r="M33" i="65"/>
  <c r="W31" i="65"/>
  <c r="U31" i="65"/>
  <c r="S31" i="65"/>
  <c r="Q31" i="65"/>
  <c r="O31" i="65"/>
  <c r="M31" i="65"/>
  <c r="W30" i="65"/>
  <c r="U30" i="65"/>
  <c r="S30" i="65"/>
  <c r="Q30" i="65"/>
  <c r="O30" i="65"/>
  <c r="M30" i="65"/>
  <c r="W29" i="65"/>
  <c r="U29" i="65"/>
  <c r="S29" i="65"/>
  <c r="Q29" i="65"/>
  <c r="O29" i="65"/>
  <c r="M29" i="65"/>
  <c r="W28" i="65"/>
  <c r="U28" i="65"/>
  <c r="S28" i="65"/>
  <c r="Q28" i="65"/>
  <c r="O28" i="65"/>
  <c r="M28" i="65"/>
  <c r="W27" i="65"/>
  <c r="U27" i="65"/>
  <c r="S27" i="65"/>
  <c r="Q27" i="65"/>
  <c r="O27" i="65"/>
  <c r="M27" i="65"/>
  <c r="W26" i="65"/>
  <c r="U26" i="65"/>
  <c r="S26" i="65"/>
  <c r="Q26" i="65"/>
  <c r="O26" i="65"/>
  <c r="M26" i="65"/>
  <c r="W25" i="65"/>
  <c r="U25" i="65"/>
  <c r="S25" i="65"/>
  <c r="Q25" i="65"/>
  <c r="O25" i="65"/>
  <c r="M25" i="65"/>
  <c r="W24" i="65"/>
  <c r="U24" i="65"/>
  <c r="S24" i="65"/>
  <c r="Q24" i="65"/>
  <c r="O24" i="65"/>
  <c r="M24" i="65"/>
  <c r="W23" i="65"/>
  <c r="U23" i="65"/>
  <c r="S23" i="65"/>
  <c r="Q23" i="65"/>
  <c r="O23" i="65"/>
  <c r="M23" i="65"/>
  <c r="W22" i="65"/>
  <c r="U22" i="65"/>
  <c r="S22" i="65"/>
  <c r="Q22" i="65"/>
  <c r="O22" i="65"/>
  <c r="M22" i="65"/>
  <c r="W21" i="65"/>
  <c r="U21" i="65"/>
  <c r="S21" i="65"/>
  <c r="Q21" i="65"/>
  <c r="O21" i="65"/>
  <c r="M21" i="65"/>
  <c r="W20" i="65"/>
  <c r="U20" i="65"/>
  <c r="S20" i="65"/>
  <c r="Q20" i="65"/>
  <c r="O20" i="65"/>
  <c r="M20" i="65"/>
  <c r="W19" i="65"/>
  <c r="U19" i="65"/>
  <c r="S19" i="65"/>
  <c r="Q19" i="65"/>
  <c r="O19" i="65"/>
  <c r="M19" i="65"/>
  <c r="W18" i="65"/>
  <c r="U18" i="65"/>
  <c r="S18" i="65"/>
  <c r="Q18" i="65"/>
  <c r="O18" i="65"/>
  <c r="M18" i="65"/>
  <c r="W17" i="65"/>
  <c r="U17" i="65"/>
  <c r="S17" i="65"/>
  <c r="Q17" i="65"/>
  <c r="O17" i="65"/>
  <c r="M17" i="65"/>
  <c r="W16" i="65"/>
  <c r="U16" i="65"/>
  <c r="S16" i="65"/>
  <c r="Q16" i="65"/>
  <c r="O16" i="65"/>
  <c r="M16" i="65"/>
  <c r="W15" i="65"/>
  <c r="U15" i="65"/>
  <c r="S15" i="65"/>
  <c r="Q15" i="65"/>
  <c r="O15" i="65"/>
  <c r="M15" i="65"/>
  <c r="W14" i="65"/>
  <c r="U14" i="65"/>
  <c r="S14" i="65"/>
  <c r="Q14" i="65"/>
  <c r="O14" i="65"/>
  <c r="M14" i="65"/>
  <c r="W13" i="65"/>
  <c r="U13" i="65"/>
  <c r="S13" i="65"/>
  <c r="Q13" i="65"/>
  <c r="O13" i="65"/>
  <c r="M13" i="65"/>
  <c r="W12" i="65"/>
  <c r="U12" i="65"/>
  <c r="S12" i="65"/>
  <c r="Q12" i="65"/>
  <c r="O12" i="65"/>
  <c r="M12" i="65"/>
  <c r="W11" i="65"/>
  <c r="U11" i="65"/>
  <c r="S11" i="65"/>
  <c r="Q11" i="65"/>
  <c r="O11" i="65"/>
  <c r="M11" i="65"/>
  <c r="W10" i="65"/>
  <c r="U10" i="65"/>
  <c r="S10" i="65"/>
  <c r="Q10" i="65"/>
  <c r="O10" i="65"/>
  <c r="M10" i="65"/>
  <c r="W9" i="65"/>
  <c r="U9" i="65"/>
  <c r="S9" i="65"/>
  <c r="Q9" i="65"/>
  <c r="O9" i="65"/>
  <c r="M9" i="65"/>
  <c r="W33" i="64"/>
  <c r="U33" i="64"/>
  <c r="S33" i="64"/>
  <c r="Q33" i="64"/>
  <c r="O33" i="64"/>
  <c r="M33" i="64"/>
  <c r="W31" i="64"/>
  <c r="U31" i="64"/>
  <c r="S31" i="64"/>
  <c r="Q31" i="64"/>
  <c r="O31" i="64"/>
  <c r="M31" i="64"/>
  <c r="W30" i="64"/>
  <c r="U30" i="64"/>
  <c r="S30" i="64"/>
  <c r="Q30" i="64"/>
  <c r="O30" i="64"/>
  <c r="M30" i="64"/>
  <c r="W29" i="64"/>
  <c r="U29" i="64"/>
  <c r="S29" i="64"/>
  <c r="Q29" i="64"/>
  <c r="O29" i="64"/>
  <c r="M29" i="64"/>
  <c r="W28" i="64"/>
  <c r="U28" i="64"/>
  <c r="S28" i="64"/>
  <c r="Q28" i="64"/>
  <c r="O28" i="64"/>
  <c r="M28" i="64"/>
  <c r="W27" i="64"/>
  <c r="U27" i="64"/>
  <c r="S27" i="64"/>
  <c r="Q27" i="64"/>
  <c r="O27" i="64"/>
  <c r="M27" i="64"/>
  <c r="W26" i="64"/>
  <c r="U26" i="64"/>
  <c r="S26" i="64"/>
  <c r="Q26" i="64"/>
  <c r="O26" i="64"/>
  <c r="M26" i="64"/>
  <c r="W25" i="64"/>
  <c r="U25" i="64"/>
  <c r="S25" i="64"/>
  <c r="Q25" i="64"/>
  <c r="O25" i="64"/>
  <c r="M25" i="64"/>
  <c r="W24" i="64"/>
  <c r="U24" i="64"/>
  <c r="S24" i="64"/>
  <c r="Q24" i="64"/>
  <c r="O24" i="64"/>
  <c r="M24" i="64"/>
  <c r="W23" i="64"/>
  <c r="U23" i="64"/>
  <c r="S23" i="64"/>
  <c r="Q23" i="64"/>
  <c r="O23" i="64"/>
  <c r="M23" i="64"/>
  <c r="W22" i="64"/>
  <c r="U22" i="64"/>
  <c r="S22" i="64"/>
  <c r="Q22" i="64"/>
  <c r="O22" i="64"/>
  <c r="M22" i="64"/>
  <c r="W21" i="64"/>
  <c r="U21" i="64"/>
  <c r="S21" i="64"/>
  <c r="Q21" i="64"/>
  <c r="O21" i="64"/>
  <c r="M21" i="64"/>
  <c r="W20" i="64"/>
  <c r="U20" i="64"/>
  <c r="S20" i="64"/>
  <c r="Q20" i="64"/>
  <c r="O20" i="64"/>
  <c r="M20" i="64"/>
  <c r="W19" i="64"/>
  <c r="U19" i="64"/>
  <c r="S19" i="64"/>
  <c r="Q19" i="64"/>
  <c r="O19" i="64"/>
  <c r="M19" i="64"/>
  <c r="W18" i="64"/>
  <c r="U18" i="64"/>
  <c r="S18" i="64"/>
  <c r="Q18" i="64"/>
  <c r="O18" i="64"/>
  <c r="M18" i="64"/>
  <c r="W17" i="64"/>
  <c r="U17" i="64"/>
  <c r="S17" i="64"/>
  <c r="Q17" i="64"/>
  <c r="O17" i="64"/>
  <c r="M17" i="64"/>
  <c r="W16" i="64"/>
  <c r="U16" i="64"/>
  <c r="S16" i="64"/>
  <c r="Q16" i="64"/>
  <c r="O16" i="64"/>
  <c r="M16" i="64"/>
  <c r="W15" i="64"/>
  <c r="U15" i="64"/>
  <c r="S15" i="64"/>
  <c r="Q15" i="64"/>
  <c r="O15" i="64"/>
  <c r="M15" i="64"/>
  <c r="W14" i="64"/>
  <c r="U14" i="64"/>
  <c r="S14" i="64"/>
  <c r="Q14" i="64"/>
  <c r="O14" i="64"/>
  <c r="M14" i="64"/>
  <c r="W13" i="64"/>
  <c r="U13" i="64"/>
  <c r="S13" i="64"/>
  <c r="Q13" i="64"/>
  <c r="O13" i="64"/>
  <c r="M13" i="64"/>
  <c r="W12" i="64"/>
  <c r="U12" i="64"/>
  <c r="S12" i="64"/>
  <c r="Q12" i="64"/>
  <c r="O12" i="64"/>
  <c r="M12" i="64"/>
  <c r="W11" i="64"/>
  <c r="U11" i="64"/>
  <c r="S11" i="64"/>
  <c r="Q11" i="64"/>
  <c r="O11" i="64"/>
  <c r="M11" i="64"/>
  <c r="W10" i="64"/>
  <c r="U10" i="64"/>
  <c r="S10" i="64"/>
  <c r="Q10" i="64"/>
  <c r="O10" i="64"/>
  <c r="M10" i="64"/>
  <c r="W9" i="64"/>
  <c r="U9" i="64"/>
  <c r="S9" i="64"/>
  <c r="Q9" i="64"/>
  <c r="O9" i="64"/>
  <c r="M9" i="64"/>
  <c r="W33" i="63"/>
  <c r="U33" i="63"/>
  <c r="S33" i="63"/>
  <c r="Q33" i="63"/>
  <c r="O33" i="63"/>
  <c r="M33" i="63"/>
  <c r="W31" i="63"/>
  <c r="U31" i="63"/>
  <c r="S31" i="63"/>
  <c r="Q31" i="63"/>
  <c r="O31" i="63"/>
  <c r="M31" i="63"/>
  <c r="W30" i="63"/>
  <c r="U30" i="63"/>
  <c r="S30" i="63"/>
  <c r="Q30" i="63"/>
  <c r="O30" i="63"/>
  <c r="M30" i="63"/>
  <c r="W29" i="63"/>
  <c r="U29" i="63"/>
  <c r="S29" i="63"/>
  <c r="Q29" i="63"/>
  <c r="O29" i="63"/>
  <c r="M29" i="63"/>
  <c r="W28" i="63"/>
  <c r="U28" i="63"/>
  <c r="S28" i="63"/>
  <c r="Q28" i="63"/>
  <c r="O28" i="63"/>
  <c r="M28" i="63"/>
  <c r="W27" i="63"/>
  <c r="U27" i="63"/>
  <c r="S27" i="63"/>
  <c r="Q27" i="63"/>
  <c r="O27" i="63"/>
  <c r="M27" i="63"/>
  <c r="W26" i="63"/>
  <c r="U26" i="63"/>
  <c r="S26" i="63"/>
  <c r="Q26" i="63"/>
  <c r="O26" i="63"/>
  <c r="M26" i="63"/>
  <c r="W25" i="63"/>
  <c r="U25" i="63"/>
  <c r="S25" i="63"/>
  <c r="Q25" i="63"/>
  <c r="O25" i="63"/>
  <c r="M25" i="63"/>
  <c r="W24" i="63"/>
  <c r="U24" i="63"/>
  <c r="S24" i="63"/>
  <c r="Q24" i="63"/>
  <c r="O24" i="63"/>
  <c r="M24" i="63"/>
  <c r="W23" i="63"/>
  <c r="U23" i="63"/>
  <c r="S23" i="63"/>
  <c r="Q23" i="63"/>
  <c r="O23" i="63"/>
  <c r="M23" i="63"/>
  <c r="W22" i="63"/>
  <c r="U22" i="63"/>
  <c r="S22" i="63"/>
  <c r="Q22" i="63"/>
  <c r="O22" i="63"/>
  <c r="M22" i="63"/>
  <c r="W21" i="63"/>
  <c r="U21" i="63"/>
  <c r="S21" i="63"/>
  <c r="Q21" i="63"/>
  <c r="O21" i="63"/>
  <c r="M21" i="63"/>
  <c r="W20" i="63"/>
  <c r="U20" i="63"/>
  <c r="S20" i="63"/>
  <c r="Q20" i="63"/>
  <c r="O20" i="63"/>
  <c r="M20" i="63"/>
  <c r="W19" i="63"/>
  <c r="U19" i="63"/>
  <c r="S19" i="63"/>
  <c r="Q19" i="63"/>
  <c r="O19" i="63"/>
  <c r="M19" i="63"/>
  <c r="W18" i="63"/>
  <c r="U18" i="63"/>
  <c r="S18" i="63"/>
  <c r="Q18" i="63"/>
  <c r="O18" i="63"/>
  <c r="M18" i="63"/>
  <c r="W17" i="63"/>
  <c r="U17" i="63"/>
  <c r="S17" i="63"/>
  <c r="Q17" i="63"/>
  <c r="O17" i="63"/>
  <c r="M17" i="63"/>
  <c r="W16" i="63"/>
  <c r="U16" i="63"/>
  <c r="S16" i="63"/>
  <c r="Q16" i="63"/>
  <c r="O16" i="63"/>
  <c r="M16" i="63"/>
  <c r="W15" i="63"/>
  <c r="U15" i="63"/>
  <c r="S15" i="63"/>
  <c r="Q15" i="63"/>
  <c r="O15" i="63"/>
  <c r="M15" i="63"/>
  <c r="W14" i="63"/>
  <c r="U14" i="63"/>
  <c r="S14" i="63"/>
  <c r="Q14" i="63"/>
  <c r="O14" i="63"/>
  <c r="M14" i="63"/>
  <c r="W13" i="63"/>
  <c r="U13" i="63"/>
  <c r="S13" i="63"/>
  <c r="Q13" i="63"/>
  <c r="O13" i="63"/>
  <c r="M13" i="63"/>
  <c r="W12" i="63"/>
  <c r="U12" i="63"/>
  <c r="S12" i="63"/>
  <c r="Q12" i="63"/>
  <c r="O12" i="63"/>
  <c r="M12" i="63"/>
  <c r="W11" i="63"/>
  <c r="U11" i="63"/>
  <c r="S11" i="63"/>
  <c r="Q11" i="63"/>
  <c r="O11" i="63"/>
  <c r="M11" i="63"/>
  <c r="W10" i="63"/>
  <c r="U10" i="63"/>
  <c r="S10" i="63"/>
  <c r="Q10" i="63"/>
  <c r="O10" i="63"/>
  <c r="M10" i="63"/>
  <c r="W9" i="63"/>
  <c r="U9" i="63"/>
  <c r="S9" i="63"/>
  <c r="Q9" i="63"/>
  <c r="O9" i="63"/>
  <c r="M9" i="63"/>
  <c r="W33" i="62"/>
  <c r="U33" i="62"/>
  <c r="S33" i="62"/>
  <c r="Q33" i="62"/>
  <c r="O33" i="62"/>
  <c r="M33" i="62"/>
  <c r="W31" i="62"/>
  <c r="U31" i="62"/>
  <c r="S31" i="62"/>
  <c r="Q31" i="62"/>
  <c r="O31" i="62"/>
  <c r="M31" i="62"/>
  <c r="W30" i="62"/>
  <c r="U30" i="62"/>
  <c r="S30" i="62"/>
  <c r="Q30" i="62"/>
  <c r="O30" i="62"/>
  <c r="M30" i="62"/>
  <c r="W29" i="62"/>
  <c r="U29" i="62"/>
  <c r="S29" i="62"/>
  <c r="Q29" i="62"/>
  <c r="O29" i="62"/>
  <c r="M29" i="62"/>
  <c r="W28" i="62"/>
  <c r="U28" i="62"/>
  <c r="S28" i="62"/>
  <c r="Q28" i="62"/>
  <c r="O28" i="62"/>
  <c r="M28" i="62"/>
  <c r="W27" i="62"/>
  <c r="U27" i="62"/>
  <c r="S27" i="62"/>
  <c r="Q27" i="62"/>
  <c r="O27" i="62"/>
  <c r="M27" i="62"/>
  <c r="W26" i="62"/>
  <c r="U26" i="62"/>
  <c r="S26" i="62"/>
  <c r="Q26" i="62"/>
  <c r="O26" i="62"/>
  <c r="M26" i="62"/>
  <c r="W25" i="62"/>
  <c r="U25" i="62"/>
  <c r="S25" i="62"/>
  <c r="Q25" i="62"/>
  <c r="O25" i="62"/>
  <c r="M25" i="62"/>
  <c r="W24" i="62"/>
  <c r="U24" i="62"/>
  <c r="S24" i="62"/>
  <c r="Q24" i="62"/>
  <c r="O24" i="62"/>
  <c r="M24" i="62"/>
  <c r="W23" i="62"/>
  <c r="U23" i="62"/>
  <c r="S23" i="62"/>
  <c r="Q23" i="62"/>
  <c r="O23" i="62"/>
  <c r="M23" i="62"/>
  <c r="W22" i="62"/>
  <c r="U22" i="62"/>
  <c r="S22" i="62"/>
  <c r="Q22" i="62"/>
  <c r="O22" i="62"/>
  <c r="M22" i="62"/>
  <c r="W21" i="62"/>
  <c r="U21" i="62"/>
  <c r="S21" i="62"/>
  <c r="Q21" i="62"/>
  <c r="O21" i="62"/>
  <c r="M21" i="62"/>
  <c r="W20" i="62"/>
  <c r="U20" i="62"/>
  <c r="S20" i="62"/>
  <c r="Q20" i="62"/>
  <c r="O20" i="62"/>
  <c r="M20" i="62"/>
  <c r="W19" i="62"/>
  <c r="U19" i="62"/>
  <c r="S19" i="62"/>
  <c r="Q19" i="62"/>
  <c r="O19" i="62"/>
  <c r="M19" i="62"/>
  <c r="W18" i="62"/>
  <c r="U18" i="62"/>
  <c r="S18" i="62"/>
  <c r="Q18" i="62"/>
  <c r="O18" i="62"/>
  <c r="M18" i="62"/>
  <c r="W17" i="62"/>
  <c r="U17" i="62"/>
  <c r="S17" i="62"/>
  <c r="Q17" i="62"/>
  <c r="O17" i="62"/>
  <c r="M17" i="62"/>
  <c r="W16" i="62"/>
  <c r="U16" i="62"/>
  <c r="S16" i="62"/>
  <c r="Q16" i="62"/>
  <c r="O16" i="62"/>
  <c r="M16" i="62"/>
  <c r="W15" i="62"/>
  <c r="U15" i="62"/>
  <c r="S15" i="62"/>
  <c r="Q15" i="62"/>
  <c r="O15" i="62"/>
  <c r="M15" i="62"/>
  <c r="W14" i="62"/>
  <c r="U14" i="62"/>
  <c r="S14" i="62"/>
  <c r="Q14" i="62"/>
  <c r="O14" i="62"/>
  <c r="M14" i="62"/>
  <c r="W13" i="62"/>
  <c r="U13" i="62"/>
  <c r="S13" i="62"/>
  <c r="Q13" i="62"/>
  <c r="O13" i="62"/>
  <c r="M13" i="62"/>
  <c r="W12" i="62"/>
  <c r="U12" i="62"/>
  <c r="S12" i="62"/>
  <c r="Q12" i="62"/>
  <c r="O12" i="62"/>
  <c r="M12" i="62"/>
  <c r="W11" i="62"/>
  <c r="U11" i="62"/>
  <c r="S11" i="62"/>
  <c r="Q11" i="62"/>
  <c r="O11" i="62"/>
  <c r="M11" i="62"/>
  <c r="W10" i="62"/>
  <c r="U10" i="62"/>
  <c r="S10" i="62"/>
  <c r="Q10" i="62"/>
  <c r="O10" i="62"/>
  <c r="M10" i="62"/>
  <c r="W9" i="62"/>
  <c r="U9" i="62"/>
  <c r="S9" i="62"/>
  <c r="Q9" i="62"/>
  <c r="O9" i="62"/>
  <c r="M9" i="62"/>
  <c r="W33" i="61"/>
  <c r="U33" i="61"/>
  <c r="S33" i="61"/>
  <c r="Q33" i="61"/>
  <c r="O33" i="61"/>
  <c r="M33" i="61"/>
  <c r="W31" i="61"/>
  <c r="U31" i="61"/>
  <c r="S31" i="61"/>
  <c r="Q31" i="61"/>
  <c r="O31" i="61"/>
  <c r="M31" i="61"/>
  <c r="W30" i="61"/>
  <c r="U30" i="61"/>
  <c r="S30" i="61"/>
  <c r="Q30" i="61"/>
  <c r="O30" i="61"/>
  <c r="M30" i="61"/>
  <c r="W29" i="61"/>
  <c r="U29" i="61"/>
  <c r="S29" i="61"/>
  <c r="Q29" i="61"/>
  <c r="O29" i="61"/>
  <c r="M29" i="61"/>
  <c r="W28" i="61"/>
  <c r="U28" i="61"/>
  <c r="S28" i="61"/>
  <c r="Q28" i="61"/>
  <c r="O28" i="61"/>
  <c r="M28" i="61"/>
  <c r="W27" i="61"/>
  <c r="U27" i="61"/>
  <c r="S27" i="61"/>
  <c r="Q27" i="61"/>
  <c r="O27" i="61"/>
  <c r="M27" i="61"/>
  <c r="W26" i="61"/>
  <c r="U26" i="61"/>
  <c r="S26" i="61"/>
  <c r="Q26" i="61"/>
  <c r="O26" i="61"/>
  <c r="M26" i="61"/>
  <c r="W25" i="61"/>
  <c r="U25" i="61"/>
  <c r="S25" i="61"/>
  <c r="Q25" i="61"/>
  <c r="O25" i="61"/>
  <c r="M25" i="61"/>
  <c r="W24" i="61"/>
  <c r="U24" i="61"/>
  <c r="S24" i="61"/>
  <c r="Q24" i="61"/>
  <c r="O24" i="61"/>
  <c r="M24" i="61"/>
  <c r="W23" i="61"/>
  <c r="U23" i="61"/>
  <c r="S23" i="61"/>
  <c r="Q23" i="61"/>
  <c r="O23" i="61"/>
  <c r="M23" i="61"/>
  <c r="W22" i="61"/>
  <c r="U22" i="61"/>
  <c r="S22" i="61"/>
  <c r="Q22" i="61"/>
  <c r="O22" i="61"/>
  <c r="M22" i="61"/>
  <c r="W21" i="61"/>
  <c r="U21" i="61"/>
  <c r="S21" i="61"/>
  <c r="Q21" i="61"/>
  <c r="O21" i="61"/>
  <c r="M21" i="61"/>
  <c r="W20" i="61"/>
  <c r="U20" i="61"/>
  <c r="S20" i="61"/>
  <c r="Q20" i="61"/>
  <c r="O20" i="61"/>
  <c r="M20" i="61"/>
  <c r="W19" i="61"/>
  <c r="U19" i="61"/>
  <c r="S19" i="61"/>
  <c r="Q19" i="61"/>
  <c r="O19" i="61"/>
  <c r="M19" i="61"/>
  <c r="W18" i="61"/>
  <c r="U18" i="61"/>
  <c r="S18" i="61"/>
  <c r="Q18" i="61"/>
  <c r="O18" i="61"/>
  <c r="M18" i="61"/>
  <c r="W17" i="61"/>
  <c r="U17" i="61"/>
  <c r="S17" i="61"/>
  <c r="Q17" i="61"/>
  <c r="O17" i="61"/>
  <c r="M17" i="61"/>
  <c r="W16" i="61"/>
  <c r="U16" i="61"/>
  <c r="S16" i="61"/>
  <c r="Q16" i="61"/>
  <c r="O16" i="61"/>
  <c r="M16" i="61"/>
  <c r="W15" i="61"/>
  <c r="U15" i="61"/>
  <c r="S15" i="61"/>
  <c r="Q15" i="61"/>
  <c r="O15" i="61"/>
  <c r="M15" i="61"/>
  <c r="W14" i="61"/>
  <c r="U14" i="61"/>
  <c r="S14" i="61"/>
  <c r="Q14" i="61"/>
  <c r="O14" i="61"/>
  <c r="M14" i="61"/>
  <c r="W13" i="61"/>
  <c r="U13" i="61"/>
  <c r="S13" i="61"/>
  <c r="Q13" i="61"/>
  <c r="O13" i="61"/>
  <c r="M13" i="61"/>
  <c r="W12" i="61"/>
  <c r="U12" i="61"/>
  <c r="S12" i="61"/>
  <c r="Q12" i="61"/>
  <c r="O12" i="61"/>
  <c r="M12" i="61"/>
  <c r="W11" i="61"/>
  <c r="U11" i="61"/>
  <c r="S11" i="61"/>
  <c r="Q11" i="61"/>
  <c r="O11" i="61"/>
  <c r="M11" i="61"/>
  <c r="W10" i="61"/>
  <c r="U10" i="61"/>
  <c r="S10" i="61"/>
  <c r="Q10" i="61"/>
  <c r="O10" i="61"/>
  <c r="M10" i="61"/>
  <c r="W9" i="61"/>
  <c r="U9" i="61"/>
  <c r="S9" i="61"/>
  <c r="Q9" i="61"/>
  <c r="O9" i="61"/>
  <c r="M9" i="61"/>
  <c r="W33" i="60"/>
  <c r="U33" i="60"/>
  <c r="S33" i="60"/>
  <c r="Q33" i="60"/>
  <c r="O33" i="60"/>
  <c r="M33" i="60"/>
  <c r="W31" i="60"/>
  <c r="U31" i="60"/>
  <c r="S31" i="60"/>
  <c r="Q31" i="60"/>
  <c r="O31" i="60"/>
  <c r="M31" i="60"/>
  <c r="W30" i="60"/>
  <c r="U30" i="60"/>
  <c r="S30" i="60"/>
  <c r="Q30" i="60"/>
  <c r="O30" i="60"/>
  <c r="M30" i="60"/>
  <c r="W29" i="60"/>
  <c r="U29" i="60"/>
  <c r="S29" i="60"/>
  <c r="Q29" i="60"/>
  <c r="O29" i="60"/>
  <c r="M29" i="60"/>
  <c r="W28" i="60"/>
  <c r="U28" i="60"/>
  <c r="S28" i="60"/>
  <c r="Q28" i="60"/>
  <c r="O28" i="60"/>
  <c r="M28" i="60"/>
  <c r="W27" i="60"/>
  <c r="U27" i="60"/>
  <c r="S27" i="60"/>
  <c r="Q27" i="60"/>
  <c r="O27" i="60"/>
  <c r="M27" i="60"/>
  <c r="W26" i="60"/>
  <c r="U26" i="60"/>
  <c r="S26" i="60"/>
  <c r="Q26" i="60"/>
  <c r="O26" i="60"/>
  <c r="M26" i="60"/>
  <c r="W25" i="60"/>
  <c r="U25" i="60"/>
  <c r="S25" i="60"/>
  <c r="Q25" i="60"/>
  <c r="O25" i="60"/>
  <c r="M25" i="60"/>
  <c r="W24" i="60"/>
  <c r="U24" i="60"/>
  <c r="S24" i="60"/>
  <c r="Q24" i="60"/>
  <c r="O24" i="60"/>
  <c r="M24" i="60"/>
  <c r="W23" i="60"/>
  <c r="U23" i="60"/>
  <c r="S23" i="60"/>
  <c r="Q23" i="60"/>
  <c r="O23" i="60"/>
  <c r="M23" i="60"/>
  <c r="W22" i="60"/>
  <c r="U22" i="60"/>
  <c r="S22" i="60"/>
  <c r="Q22" i="60"/>
  <c r="O22" i="60"/>
  <c r="M22" i="60"/>
  <c r="W21" i="60"/>
  <c r="U21" i="60"/>
  <c r="S21" i="60"/>
  <c r="Q21" i="60"/>
  <c r="O21" i="60"/>
  <c r="M21" i="60"/>
  <c r="W20" i="60"/>
  <c r="U20" i="60"/>
  <c r="S20" i="60"/>
  <c r="Q20" i="60"/>
  <c r="O20" i="60"/>
  <c r="M20" i="60"/>
  <c r="W19" i="60"/>
  <c r="U19" i="60"/>
  <c r="S19" i="60"/>
  <c r="Q19" i="60"/>
  <c r="O19" i="60"/>
  <c r="M19" i="60"/>
  <c r="W18" i="60"/>
  <c r="U18" i="60"/>
  <c r="S18" i="60"/>
  <c r="Q18" i="60"/>
  <c r="O18" i="60"/>
  <c r="M18" i="60"/>
  <c r="W17" i="60"/>
  <c r="U17" i="60"/>
  <c r="S17" i="60"/>
  <c r="Q17" i="60"/>
  <c r="O17" i="60"/>
  <c r="M17" i="60"/>
  <c r="W16" i="60"/>
  <c r="U16" i="60"/>
  <c r="S16" i="60"/>
  <c r="Q16" i="60"/>
  <c r="O16" i="60"/>
  <c r="M16" i="60"/>
  <c r="W15" i="60"/>
  <c r="U15" i="60"/>
  <c r="S15" i="60"/>
  <c r="Q15" i="60"/>
  <c r="O15" i="60"/>
  <c r="M15" i="60"/>
  <c r="W14" i="60"/>
  <c r="U14" i="60"/>
  <c r="S14" i="60"/>
  <c r="Q14" i="60"/>
  <c r="O14" i="60"/>
  <c r="M14" i="60"/>
  <c r="W13" i="60"/>
  <c r="U13" i="60"/>
  <c r="S13" i="60"/>
  <c r="Q13" i="60"/>
  <c r="O13" i="60"/>
  <c r="M13" i="60"/>
  <c r="W12" i="60"/>
  <c r="U12" i="60"/>
  <c r="S12" i="60"/>
  <c r="Q12" i="60"/>
  <c r="O12" i="60"/>
  <c r="M12" i="60"/>
  <c r="W11" i="60"/>
  <c r="U11" i="60"/>
  <c r="S11" i="60"/>
  <c r="Q11" i="60"/>
  <c r="O11" i="60"/>
  <c r="M11" i="60"/>
  <c r="W10" i="60"/>
  <c r="U10" i="60"/>
  <c r="S10" i="60"/>
  <c r="Q10" i="60"/>
  <c r="O10" i="60"/>
  <c r="M10" i="60"/>
  <c r="W9" i="60"/>
  <c r="U9" i="60"/>
  <c r="S9" i="60"/>
  <c r="Q9" i="60"/>
  <c r="O9" i="60"/>
  <c r="M9" i="60"/>
  <c r="W33" i="59"/>
  <c r="U33" i="59"/>
  <c r="S33" i="59"/>
  <c r="Q33" i="59"/>
  <c r="O33" i="59"/>
  <c r="M33" i="59"/>
  <c r="W31" i="59"/>
  <c r="U31" i="59"/>
  <c r="S31" i="59"/>
  <c r="Q31" i="59"/>
  <c r="O31" i="59"/>
  <c r="M31" i="59"/>
  <c r="W30" i="59"/>
  <c r="U30" i="59"/>
  <c r="S30" i="59"/>
  <c r="Q30" i="59"/>
  <c r="O30" i="59"/>
  <c r="M30" i="59"/>
  <c r="W29" i="59"/>
  <c r="U29" i="59"/>
  <c r="S29" i="59"/>
  <c r="Q29" i="59"/>
  <c r="O29" i="59"/>
  <c r="M29" i="59"/>
  <c r="W28" i="59"/>
  <c r="U28" i="59"/>
  <c r="S28" i="59"/>
  <c r="Q28" i="59"/>
  <c r="O28" i="59"/>
  <c r="M28" i="59"/>
  <c r="W27" i="59"/>
  <c r="U27" i="59"/>
  <c r="S27" i="59"/>
  <c r="Q27" i="59"/>
  <c r="O27" i="59"/>
  <c r="M27" i="59"/>
  <c r="W26" i="59"/>
  <c r="U26" i="59"/>
  <c r="S26" i="59"/>
  <c r="Q26" i="59"/>
  <c r="O26" i="59"/>
  <c r="M26" i="59"/>
  <c r="W25" i="59"/>
  <c r="U25" i="59"/>
  <c r="S25" i="59"/>
  <c r="Q25" i="59"/>
  <c r="O25" i="59"/>
  <c r="M25" i="59"/>
  <c r="W24" i="59"/>
  <c r="U24" i="59"/>
  <c r="S24" i="59"/>
  <c r="Q24" i="59"/>
  <c r="O24" i="59"/>
  <c r="M24" i="59"/>
  <c r="W23" i="59"/>
  <c r="U23" i="59"/>
  <c r="S23" i="59"/>
  <c r="Q23" i="59"/>
  <c r="O23" i="59"/>
  <c r="M23" i="59"/>
  <c r="W22" i="59"/>
  <c r="U22" i="59"/>
  <c r="S22" i="59"/>
  <c r="Q22" i="59"/>
  <c r="O22" i="59"/>
  <c r="M22" i="59"/>
  <c r="W21" i="59"/>
  <c r="U21" i="59"/>
  <c r="S21" i="59"/>
  <c r="Q21" i="59"/>
  <c r="O21" i="59"/>
  <c r="M21" i="59"/>
  <c r="W20" i="59"/>
  <c r="U20" i="59"/>
  <c r="S20" i="59"/>
  <c r="Q20" i="59"/>
  <c r="O20" i="59"/>
  <c r="M20" i="59"/>
  <c r="W19" i="59"/>
  <c r="U19" i="59"/>
  <c r="S19" i="59"/>
  <c r="Q19" i="59"/>
  <c r="O19" i="59"/>
  <c r="M19" i="59"/>
  <c r="W18" i="59"/>
  <c r="U18" i="59"/>
  <c r="S18" i="59"/>
  <c r="Q18" i="59"/>
  <c r="O18" i="59"/>
  <c r="M18" i="59"/>
  <c r="W17" i="59"/>
  <c r="U17" i="59"/>
  <c r="S17" i="59"/>
  <c r="Q17" i="59"/>
  <c r="O17" i="59"/>
  <c r="M17" i="59"/>
  <c r="W16" i="59"/>
  <c r="U16" i="59"/>
  <c r="S16" i="59"/>
  <c r="Q16" i="59"/>
  <c r="O16" i="59"/>
  <c r="M16" i="59"/>
  <c r="W15" i="59"/>
  <c r="U15" i="59"/>
  <c r="S15" i="59"/>
  <c r="Q15" i="59"/>
  <c r="O15" i="59"/>
  <c r="M15" i="59"/>
  <c r="W14" i="59"/>
  <c r="U14" i="59"/>
  <c r="S14" i="59"/>
  <c r="Q14" i="59"/>
  <c r="O14" i="59"/>
  <c r="M14" i="59"/>
  <c r="W13" i="59"/>
  <c r="U13" i="59"/>
  <c r="S13" i="59"/>
  <c r="Q13" i="59"/>
  <c r="O13" i="59"/>
  <c r="M13" i="59"/>
  <c r="W12" i="59"/>
  <c r="U12" i="59"/>
  <c r="S12" i="59"/>
  <c r="Q12" i="59"/>
  <c r="O12" i="59"/>
  <c r="M12" i="59"/>
  <c r="W11" i="59"/>
  <c r="U11" i="59"/>
  <c r="S11" i="59"/>
  <c r="Q11" i="59"/>
  <c r="O11" i="59"/>
  <c r="M11" i="59"/>
  <c r="W10" i="59"/>
  <c r="U10" i="59"/>
  <c r="S10" i="59"/>
  <c r="Q10" i="59"/>
  <c r="O10" i="59"/>
  <c r="M10" i="59"/>
  <c r="W9" i="59"/>
  <c r="U9" i="59"/>
  <c r="S9" i="59"/>
  <c r="Q9" i="59"/>
  <c r="O9" i="59"/>
  <c r="M9" i="59"/>
  <c r="W33" i="58"/>
  <c r="U33" i="58"/>
  <c r="S33" i="58"/>
  <c r="Q33" i="58"/>
  <c r="O33" i="58"/>
  <c r="M33" i="58"/>
  <c r="W31" i="58"/>
  <c r="U31" i="58"/>
  <c r="S31" i="58"/>
  <c r="Q31" i="58"/>
  <c r="O31" i="58"/>
  <c r="M31" i="58"/>
  <c r="W30" i="58"/>
  <c r="U30" i="58"/>
  <c r="S30" i="58"/>
  <c r="Q30" i="58"/>
  <c r="O30" i="58"/>
  <c r="M30" i="58"/>
  <c r="W29" i="58"/>
  <c r="U29" i="58"/>
  <c r="S29" i="58"/>
  <c r="Q29" i="58"/>
  <c r="O29" i="58"/>
  <c r="M29" i="58"/>
  <c r="W28" i="58"/>
  <c r="U28" i="58"/>
  <c r="S28" i="58"/>
  <c r="Q28" i="58"/>
  <c r="O28" i="58"/>
  <c r="M28" i="58"/>
  <c r="W27" i="58"/>
  <c r="U27" i="58"/>
  <c r="S27" i="58"/>
  <c r="Q27" i="58"/>
  <c r="O27" i="58"/>
  <c r="M27" i="58"/>
  <c r="W26" i="58"/>
  <c r="U26" i="58"/>
  <c r="S26" i="58"/>
  <c r="Q26" i="58"/>
  <c r="O26" i="58"/>
  <c r="M26" i="58"/>
  <c r="W25" i="58"/>
  <c r="U25" i="58"/>
  <c r="S25" i="58"/>
  <c r="Q25" i="58"/>
  <c r="O25" i="58"/>
  <c r="M25" i="58"/>
  <c r="W24" i="58"/>
  <c r="U24" i="58"/>
  <c r="S24" i="58"/>
  <c r="Q24" i="58"/>
  <c r="O24" i="58"/>
  <c r="M24" i="58"/>
  <c r="W23" i="58"/>
  <c r="U23" i="58"/>
  <c r="S23" i="58"/>
  <c r="Q23" i="58"/>
  <c r="O23" i="58"/>
  <c r="M23" i="58"/>
  <c r="W22" i="58"/>
  <c r="U22" i="58"/>
  <c r="S22" i="58"/>
  <c r="Q22" i="58"/>
  <c r="O22" i="58"/>
  <c r="M22" i="58"/>
  <c r="W21" i="58"/>
  <c r="U21" i="58"/>
  <c r="S21" i="58"/>
  <c r="Q21" i="58"/>
  <c r="O21" i="58"/>
  <c r="M21" i="58"/>
  <c r="W20" i="58"/>
  <c r="U20" i="58"/>
  <c r="S20" i="58"/>
  <c r="Q20" i="58"/>
  <c r="O20" i="58"/>
  <c r="M20" i="58"/>
  <c r="W19" i="58"/>
  <c r="U19" i="58"/>
  <c r="S19" i="58"/>
  <c r="Q19" i="58"/>
  <c r="O19" i="58"/>
  <c r="M19" i="58"/>
  <c r="W18" i="58"/>
  <c r="U18" i="58"/>
  <c r="S18" i="58"/>
  <c r="Q18" i="58"/>
  <c r="O18" i="58"/>
  <c r="M18" i="58"/>
  <c r="W17" i="58"/>
  <c r="U17" i="58"/>
  <c r="S17" i="58"/>
  <c r="Q17" i="58"/>
  <c r="O17" i="58"/>
  <c r="M17" i="58"/>
  <c r="W16" i="58"/>
  <c r="U16" i="58"/>
  <c r="S16" i="58"/>
  <c r="Q16" i="58"/>
  <c r="O16" i="58"/>
  <c r="M16" i="58"/>
  <c r="W15" i="58"/>
  <c r="U15" i="58"/>
  <c r="S15" i="58"/>
  <c r="Q15" i="58"/>
  <c r="O15" i="58"/>
  <c r="M15" i="58"/>
  <c r="W14" i="58"/>
  <c r="U14" i="58"/>
  <c r="S14" i="58"/>
  <c r="Q14" i="58"/>
  <c r="O14" i="58"/>
  <c r="M14" i="58"/>
  <c r="W13" i="58"/>
  <c r="U13" i="58"/>
  <c r="S13" i="58"/>
  <c r="Q13" i="58"/>
  <c r="O13" i="58"/>
  <c r="M13" i="58"/>
  <c r="W12" i="58"/>
  <c r="U12" i="58"/>
  <c r="S12" i="58"/>
  <c r="Q12" i="58"/>
  <c r="O12" i="58"/>
  <c r="M12" i="58"/>
  <c r="W11" i="58"/>
  <c r="U11" i="58"/>
  <c r="S11" i="58"/>
  <c r="Q11" i="58"/>
  <c r="O11" i="58"/>
  <c r="M11" i="58"/>
  <c r="W10" i="58"/>
  <c r="U10" i="58"/>
  <c r="S10" i="58"/>
  <c r="Q10" i="58"/>
  <c r="O10" i="58"/>
  <c r="M10" i="58"/>
  <c r="W9" i="58"/>
  <c r="U9" i="58"/>
  <c r="S9" i="58"/>
  <c r="Q9" i="58"/>
  <c r="O9" i="58"/>
  <c r="M9" i="58"/>
  <c r="W33" i="57"/>
  <c r="U33" i="57"/>
  <c r="S33" i="57"/>
  <c r="Q33" i="57"/>
  <c r="O33" i="57"/>
  <c r="M33" i="57"/>
  <c r="W31" i="57"/>
  <c r="U31" i="57"/>
  <c r="S31" i="57"/>
  <c r="Q31" i="57"/>
  <c r="O31" i="57"/>
  <c r="M31" i="57"/>
  <c r="W30" i="57"/>
  <c r="U30" i="57"/>
  <c r="S30" i="57"/>
  <c r="Q30" i="57"/>
  <c r="O30" i="57"/>
  <c r="M30" i="57"/>
  <c r="W29" i="57"/>
  <c r="U29" i="57"/>
  <c r="S29" i="57"/>
  <c r="Q29" i="57"/>
  <c r="O29" i="57"/>
  <c r="M29" i="57"/>
  <c r="W28" i="57"/>
  <c r="U28" i="57"/>
  <c r="S28" i="57"/>
  <c r="Q28" i="57"/>
  <c r="O28" i="57"/>
  <c r="M28" i="57"/>
  <c r="W27" i="57"/>
  <c r="U27" i="57"/>
  <c r="S27" i="57"/>
  <c r="Q27" i="57"/>
  <c r="O27" i="57"/>
  <c r="M27" i="57"/>
  <c r="W26" i="57"/>
  <c r="U26" i="57"/>
  <c r="S26" i="57"/>
  <c r="Q26" i="57"/>
  <c r="O26" i="57"/>
  <c r="M26" i="57"/>
  <c r="W25" i="57"/>
  <c r="U25" i="57"/>
  <c r="S25" i="57"/>
  <c r="Q25" i="57"/>
  <c r="O25" i="57"/>
  <c r="M25" i="57"/>
  <c r="W24" i="57"/>
  <c r="U24" i="57"/>
  <c r="S24" i="57"/>
  <c r="Q24" i="57"/>
  <c r="O24" i="57"/>
  <c r="M24" i="57"/>
  <c r="W23" i="57"/>
  <c r="U23" i="57"/>
  <c r="S23" i="57"/>
  <c r="Q23" i="57"/>
  <c r="O23" i="57"/>
  <c r="M23" i="57"/>
  <c r="W22" i="57"/>
  <c r="U22" i="57"/>
  <c r="S22" i="57"/>
  <c r="Q22" i="57"/>
  <c r="O22" i="57"/>
  <c r="M22" i="57"/>
  <c r="W21" i="57"/>
  <c r="U21" i="57"/>
  <c r="S21" i="57"/>
  <c r="Q21" i="57"/>
  <c r="O21" i="57"/>
  <c r="M21" i="57"/>
  <c r="W20" i="57"/>
  <c r="U20" i="57"/>
  <c r="S20" i="57"/>
  <c r="Q20" i="57"/>
  <c r="O20" i="57"/>
  <c r="M20" i="57"/>
  <c r="W19" i="57"/>
  <c r="U19" i="57"/>
  <c r="S19" i="57"/>
  <c r="Q19" i="57"/>
  <c r="O19" i="57"/>
  <c r="M19" i="57"/>
  <c r="W18" i="57"/>
  <c r="U18" i="57"/>
  <c r="S18" i="57"/>
  <c r="Q18" i="57"/>
  <c r="O18" i="57"/>
  <c r="M18" i="57"/>
  <c r="W17" i="57"/>
  <c r="U17" i="57"/>
  <c r="S17" i="57"/>
  <c r="Q17" i="57"/>
  <c r="O17" i="57"/>
  <c r="M17" i="57"/>
  <c r="W16" i="57"/>
  <c r="U16" i="57"/>
  <c r="S16" i="57"/>
  <c r="Q16" i="57"/>
  <c r="O16" i="57"/>
  <c r="M16" i="57"/>
  <c r="W15" i="57"/>
  <c r="U15" i="57"/>
  <c r="S15" i="57"/>
  <c r="Q15" i="57"/>
  <c r="O15" i="57"/>
  <c r="M15" i="57"/>
  <c r="W14" i="57"/>
  <c r="U14" i="57"/>
  <c r="S14" i="57"/>
  <c r="Q14" i="57"/>
  <c r="O14" i="57"/>
  <c r="M14" i="57"/>
  <c r="W13" i="57"/>
  <c r="U13" i="57"/>
  <c r="S13" i="57"/>
  <c r="Q13" i="57"/>
  <c r="O13" i="57"/>
  <c r="M13" i="57"/>
  <c r="W12" i="57"/>
  <c r="U12" i="57"/>
  <c r="S12" i="57"/>
  <c r="Q12" i="57"/>
  <c r="O12" i="57"/>
  <c r="M12" i="57"/>
  <c r="W11" i="57"/>
  <c r="U11" i="57"/>
  <c r="S11" i="57"/>
  <c r="Q11" i="57"/>
  <c r="O11" i="57"/>
  <c r="M11" i="57"/>
  <c r="W10" i="57"/>
  <c r="U10" i="57"/>
  <c r="S10" i="57"/>
  <c r="Q10" i="57"/>
  <c r="O10" i="57"/>
  <c r="M10" i="57"/>
  <c r="W9" i="57"/>
  <c r="U9" i="57"/>
  <c r="S9" i="57"/>
  <c r="Q9" i="57"/>
  <c r="O9" i="57"/>
  <c r="M9" i="57"/>
  <c r="W33" i="56"/>
  <c r="U33" i="56"/>
  <c r="S33" i="56"/>
  <c r="Q33" i="56"/>
  <c r="O33" i="56"/>
  <c r="M33" i="56"/>
  <c r="W31" i="56"/>
  <c r="U31" i="56"/>
  <c r="S31" i="56"/>
  <c r="Q31" i="56"/>
  <c r="O31" i="56"/>
  <c r="M31" i="56"/>
  <c r="W30" i="56"/>
  <c r="U30" i="56"/>
  <c r="S30" i="56"/>
  <c r="Q30" i="56"/>
  <c r="O30" i="56"/>
  <c r="M30" i="56"/>
  <c r="W29" i="56"/>
  <c r="U29" i="56"/>
  <c r="S29" i="56"/>
  <c r="Q29" i="56"/>
  <c r="O29" i="56"/>
  <c r="M29" i="56"/>
  <c r="W28" i="56"/>
  <c r="U28" i="56"/>
  <c r="S28" i="56"/>
  <c r="Q28" i="56"/>
  <c r="O28" i="56"/>
  <c r="M28" i="56"/>
  <c r="W27" i="56"/>
  <c r="U27" i="56"/>
  <c r="S27" i="56"/>
  <c r="Q27" i="56"/>
  <c r="O27" i="56"/>
  <c r="M27" i="56"/>
  <c r="W26" i="56"/>
  <c r="U26" i="56"/>
  <c r="S26" i="56"/>
  <c r="Q26" i="56"/>
  <c r="O26" i="56"/>
  <c r="M26" i="56"/>
  <c r="W25" i="56"/>
  <c r="U25" i="56"/>
  <c r="S25" i="56"/>
  <c r="Q25" i="56"/>
  <c r="O25" i="56"/>
  <c r="M25" i="56"/>
  <c r="W24" i="56"/>
  <c r="U24" i="56"/>
  <c r="S24" i="56"/>
  <c r="Q24" i="56"/>
  <c r="O24" i="56"/>
  <c r="M24" i="56"/>
  <c r="W23" i="56"/>
  <c r="U23" i="56"/>
  <c r="S23" i="56"/>
  <c r="Q23" i="56"/>
  <c r="O23" i="56"/>
  <c r="M23" i="56"/>
  <c r="W22" i="56"/>
  <c r="U22" i="56"/>
  <c r="S22" i="56"/>
  <c r="Q22" i="56"/>
  <c r="O22" i="56"/>
  <c r="M22" i="56"/>
  <c r="W21" i="56"/>
  <c r="U21" i="56"/>
  <c r="S21" i="56"/>
  <c r="Q21" i="56"/>
  <c r="O21" i="56"/>
  <c r="M21" i="56"/>
  <c r="W20" i="56"/>
  <c r="U20" i="56"/>
  <c r="S20" i="56"/>
  <c r="Q20" i="56"/>
  <c r="O20" i="56"/>
  <c r="M20" i="56"/>
  <c r="W19" i="56"/>
  <c r="U19" i="56"/>
  <c r="S19" i="56"/>
  <c r="Q19" i="56"/>
  <c r="O19" i="56"/>
  <c r="M19" i="56"/>
  <c r="W18" i="56"/>
  <c r="U18" i="56"/>
  <c r="S18" i="56"/>
  <c r="Q18" i="56"/>
  <c r="O18" i="56"/>
  <c r="M18" i="56"/>
  <c r="W17" i="56"/>
  <c r="U17" i="56"/>
  <c r="S17" i="56"/>
  <c r="Q17" i="56"/>
  <c r="O17" i="56"/>
  <c r="M17" i="56"/>
  <c r="W16" i="56"/>
  <c r="U16" i="56"/>
  <c r="S16" i="56"/>
  <c r="Q16" i="56"/>
  <c r="O16" i="56"/>
  <c r="M16" i="56"/>
  <c r="W15" i="56"/>
  <c r="U15" i="56"/>
  <c r="S15" i="56"/>
  <c r="Q15" i="56"/>
  <c r="O15" i="56"/>
  <c r="M15" i="56"/>
  <c r="W14" i="56"/>
  <c r="U14" i="56"/>
  <c r="S14" i="56"/>
  <c r="Q14" i="56"/>
  <c r="O14" i="56"/>
  <c r="M14" i="56"/>
  <c r="W13" i="56"/>
  <c r="U13" i="56"/>
  <c r="S13" i="56"/>
  <c r="Q13" i="56"/>
  <c r="O13" i="56"/>
  <c r="M13" i="56"/>
  <c r="W12" i="56"/>
  <c r="U12" i="56"/>
  <c r="S12" i="56"/>
  <c r="Q12" i="56"/>
  <c r="O12" i="56"/>
  <c r="M12" i="56"/>
  <c r="W11" i="56"/>
  <c r="U11" i="56"/>
  <c r="S11" i="56"/>
  <c r="Q11" i="56"/>
  <c r="O11" i="56"/>
  <c r="M11" i="56"/>
  <c r="W10" i="56"/>
  <c r="U10" i="56"/>
  <c r="S10" i="56"/>
  <c r="Q10" i="56"/>
  <c r="O10" i="56"/>
  <c r="M10" i="56"/>
  <c r="W9" i="56"/>
  <c r="U9" i="56"/>
  <c r="S9" i="56"/>
  <c r="Q9" i="56"/>
  <c r="O9" i="56"/>
  <c r="M9" i="56"/>
  <c r="W33" i="54"/>
  <c r="U33" i="54"/>
  <c r="S33" i="54"/>
  <c r="Q33" i="54"/>
  <c r="O33" i="54"/>
  <c r="M33" i="54"/>
  <c r="W31" i="54"/>
  <c r="U31" i="54"/>
  <c r="S31" i="54"/>
  <c r="Q31" i="54"/>
  <c r="O31" i="54"/>
  <c r="M31" i="54"/>
  <c r="W30" i="54"/>
  <c r="U30" i="54"/>
  <c r="S30" i="54"/>
  <c r="Q30" i="54"/>
  <c r="O30" i="54"/>
  <c r="M30" i="54"/>
  <c r="W29" i="54"/>
  <c r="U29" i="54"/>
  <c r="S29" i="54"/>
  <c r="Q29" i="54"/>
  <c r="O29" i="54"/>
  <c r="M29" i="54"/>
  <c r="W28" i="54"/>
  <c r="U28" i="54"/>
  <c r="S28" i="54"/>
  <c r="Q28" i="54"/>
  <c r="O28" i="54"/>
  <c r="M28" i="54"/>
  <c r="W27" i="54"/>
  <c r="U27" i="54"/>
  <c r="S27" i="54"/>
  <c r="Q27" i="54"/>
  <c r="O27" i="54"/>
  <c r="M27" i="54"/>
  <c r="W26" i="54"/>
  <c r="U26" i="54"/>
  <c r="S26" i="54"/>
  <c r="Q26" i="54"/>
  <c r="O26" i="54"/>
  <c r="M26" i="54"/>
  <c r="W25" i="54"/>
  <c r="U25" i="54"/>
  <c r="S25" i="54"/>
  <c r="Q25" i="54"/>
  <c r="O25" i="54"/>
  <c r="M25" i="54"/>
  <c r="W24" i="54"/>
  <c r="U24" i="54"/>
  <c r="S24" i="54"/>
  <c r="Q24" i="54"/>
  <c r="O24" i="54"/>
  <c r="M24" i="54"/>
  <c r="W23" i="54"/>
  <c r="U23" i="54"/>
  <c r="S23" i="54"/>
  <c r="Q23" i="54"/>
  <c r="O23" i="54"/>
  <c r="M23" i="54"/>
  <c r="W22" i="54"/>
  <c r="U22" i="54"/>
  <c r="S22" i="54"/>
  <c r="Q22" i="54"/>
  <c r="O22" i="54"/>
  <c r="M22" i="54"/>
  <c r="W21" i="54"/>
  <c r="U21" i="54"/>
  <c r="S21" i="54"/>
  <c r="Q21" i="54"/>
  <c r="O21" i="54"/>
  <c r="M21" i="54"/>
  <c r="W20" i="54"/>
  <c r="U20" i="54"/>
  <c r="S20" i="54"/>
  <c r="Q20" i="54"/>
  <c r="O20" i="54"/>
  <c r="M20" i="54"/>
  <c r="W19" i="54"/>
  <c r="U19" i="54"/>
  <c r="S19" i="54"/>
  <c r="Q19" i="54"/>
  <c r="O19" i="54"/>
  <c r="M19" i="54"/>
  <c r="W18" i="54"/>
  <c r="U18" i="54"/>
  <c r="S18" i="54"/>
  <c r="Q18" i="54"/>
  <c r="O18" i="54"/>
  <c r="M18" i="54"/>
  <c r="W17" i="54"/>
  <c r="U17" i="54"/>
  <c r="S17" i="54"/>
  <c r="Q17" i="54"/>
  <c r="O17" i="54"/>
  <c r="M17" i="54"/>
  <c r="W16" i="54"/>
  <c r="U16" i="54"/>
  <c r="S16" i="54"/>
  <c r="Q16" i="54"/>
  <c r="O16" i="54"/>
  <c r="M16" i="54"/>
  <c r="W15" i="54"/>
  <c r="U15" i="54"/>
  <c r="S15" i="54"/>
  <c r="Q15" i="54"/>
  <c r="O15" i="54"/>
  <c r="M15" i="54"/>
  <c r="W14" i="54"/>
  <c r="U14" i="54"/>
  <c r="S14" i="54"/>
  <c r="Q14" i="54"/>
  <c r="O14" i="54"/>
  <c r="M14" i="54"/>
  <c r="W13" i="54"/>
  <c r="U13" i="54"/>
  <c r="S13" i="54"/>
  <c r="Q13" i="54"/>
  <c r="O13" i="54"/>
  <c r="M13" i="54"/>
  <c r="W12" i="54"/>
  <c r="U12" i="54"/>
  <c r="S12" i="54"/>
  <c r="Q12" i="54"/>
  <c r="O12" i="54"/>
  <c r="M12" i="54"/>
  <c r="W11" i="54"/>
  <c r="U11" i="54"/>
  <c r="S11" i="54"/>
  <c r="Q11" i="54"/>
  <c r="O11" i="54"/>
  <c r="M11" i="54"/>
  <c r="W10" i="54"/>
  <c r="U10" i="54"/>
  <c r="S10" i="54"/>
  <c r="Q10" i="54"/>
  <c r="O10" i="54"/>
  <c r="M10" i="54"/>
  <c r="W9" i="54"/>
  <c r="U9" i="54"/>
  <c r="S9" i="54"/>
  <c r="Q9" i="54"/>
  <c r="O9" i="54"/>
  <c r="M9" i="54"/>
  <c r="W33" i="53"/>
  <c r="U33" i="53"/>
  <c r="S33" i="53"/>
  <c r="Q33" i="53"/>
  <c r="O33" i="53"/>
  <c r="M33" i="53"/>
  <c r="W31" i="53"/>
  <c r="U31" i="53"/>
  <c r="S31" i="53"/>
  <c r="Q31" i="53"/>
  <c r="O31" i="53"/>
  <c r="M31" i="53"/>
  <c r="W30" i="53"/>
  <c r="U30" i="53"/>
  <c r="S30" i="53"/>
  <c r="Q30" i="53"/>
  <c r="O30" i="53"/>
  <c r="M30" i="53"/>
  <c r="W29" i="53"/>
  <c r="U29" i="53"/>
  <c r="S29" i="53"/>
  <c r="Q29" i="53"/>
  <c r="O29" i="53"/>
  <c r="M29" i="53"/>
  <c r="W28" i="53"/>
  <c r="U28" i="53"/>
  <c r="S28" i="53"/>
  <c r="Q28" i="53"/>
  <c r="O28" i="53"/>
  <c r="M28" i="53"/>
  <c r="W27" i="53"/>
  <c r="U27" i="53"/>
  <c r="S27" i="53"/>
  <c r="Q27" i="53"/>
  <c r="O27" i="53"/>
  <c r="M27" i="53"/>
  <c r="W26" i="53"/>
  <c r="U26" i="53"/>
  <c r="S26" i="53"/>
  <c r="Q26" i="53"/>
  <c r="O26" i="53"/>
  <c r="M26" i="53"/>
  <c r="W25" i="53"/>
  <c r="U25" i="53"/>
  <c r="S25" i="53"/>
  <c r="Q25" i="53"/>
  <c r="O25" i="53"/>
  <c r="M25" i="53"/>
  <c r="W24" i="53"/>
  <c r="U24" i="53"/>
  <c r="S24" i="53"/>
  <c r="Q24" i="53"/>
  <c r="O24" i="53"/>
  <c r="M24" i="53"/>
  <c r="W23" i="53"/>
  <c r="U23" i="53"/>
  <c r="S23" i="53"/>
  <c r="Q23" i="53"/>
  <c r="O23" i="53"/>
  <c r="M23" i="53"/>
  <c r="W22" i="53"/>
  <c r="U22" i="53"/>
  <c r="S22" i="53"/>
  <c r="Q22" i="53"/>
  <c r="O22" i="53"/>
  <c r="M22" i="53"/>
  <c r="W21" i="53"/>
  <c r="U21" i="53"/>
  <c r="S21" i="53"/>
  <c r="Q21" i="53"/>
  <c r="O21" i="53"/>
  <c r="M21" i="53"/>
  <c r="W20" i="53"/>
  <c r="U20" i="53"/>
  <c r="S20" i="53"/>
  <c r="Q20" i="53"/>
  <c r="O20" i="53"/>
  <c r="M20" i="53"/>
  <c r="W19" i="53"/>
  <c r="U19" i="53"/>
  <c r="S19" i="53"/>
  <c r="Q19" i="53"/>
  <c r="O19" i="53"/>
  <c r="M19" i="53"/>
  <c r="W18" i="53"/>
  <c r="U18" i="53"/>
  <c r="S18" i="53"/>
  <c r="Q18" i="53"/>
  <c r="O18" i="53"/>
  <c r="M18" i="53"/>
  <c r="W17" i="53"/>
  <c r="U17" i="53"/>
  <c r="S17" i="53"/>
  <c r="Q17" i="53"/>
  <c r="O17" i="53"/>
  <c r="M17" i="53"/>
  <c r="W16" i="53"/>
  <c r="U16" i="53"/>
  <c r="S16" i="53"/>
  <c r="Q16" i="53"/>
  <c r="O16" i="53"/>
  <c r="M16" i="53"/>
  <c r="W15" i="53"/>
  <c r="U15" i="53"/>
  <c r="S15" i="53"/>
  <c r="Q15" i="53"/>
  <c r="O15" i="53"/>
  <c r="M15" i="53"/>
  <c r="W14" i="53"/>
  <c r="U14" i="53"/>
  <c r="S14" i="53"/>
  <c r="Q14" i="53"/>
  <c r="O14" i="53"/>
  <c r="M14" i="53"/>
  <c r="W13" i="53"/>
  <c r="U13" i="53"/>
  <c r="S13" i="53"/>
  <c r="Q13" i="53"/>
  <c r="O13" i="53"/>
  <c r="M13" i="53"/>
  <c r="W12" i="53"/>
  <c r="U12" i="53"/>
  <c r="S12" i="53"/>
  <c r="Q12" i="53"/>
  <c r="O12" i="53"/>
  <c r="M12" i="53"/>
  <c r="W11" i="53"/>
  <c r="U11" i="53"/>
  <c r="S11" i="53"/>
  <c r="Q11" i="53"/>
  <c r="O11" i="53"/>
  <c r="M11" i="53"/>
  <c r="W10" i="53"/>
  <c r="U10" i="53"/>
  <c r="S10" i="53"/>
  <c r="Q10" i="53"/>
  <c r="O10" i="53"/>
  <c r="M10" i="53"/>
  <c r="W9" i="53"/>
  <c r="U9" i="53"/>
  <c r="S9" i="53"/>
  <c r="Q9" i="53"/>
  <c r="O9" i="53"/>
  <c r="M9" i="53"/>
  <c r="W33" i="52"/>
  <c r="U33" i="52"/>
  <c r="S33" i="52"/>
  <c r="Q33" i="52"/>
  <c r="O33" i="52"/>
  <c r="M33" i="52"/>
  <c r="W31" i="52"/>
  <c r="U31" i="52"/>
  <c r="S31" i="52"/>
  <c r="Q31" i="52"/>
  <c r="O31" i="52"/>
  <c r="M31" i="52"/>
  <c r="W30" i="52"/>
  <c r="U30" i="52"/>
  <c r="S30" i="52"/>
  <c r="Q30" i="52"/>
  <c r="O30" i="52"/>
  <c r="M30" i="52"/>
  <c r="W29" i="52"/>
  <c r="U29" i="52"/>
  <c r="S29" i="52"/>
  <c r="Q29" i="52"/>
  <c r="O29" i="52"/>
  <c r="M29" i="52"/>
  <c r="W28" i="52"/>
  <c r="U28" i="52"/>
  <c r="S28" i="52"/>
  <c r="Q28" i="52"/>
  <c r="O28" i="52"/>
  <c r="M28" i="52"/>
  <c r="W27" i="52"/>
  <c r="U27" i="52"/>
  <c r="S27" i="52"/>
  <c r="Q27" i="52"/>
  <c r="O27" i="52"/>
  <c r="M27" i="52"/>
  <c r="W26" i="52"/>
  <c r="U26" i="52"/>
  <c r="S26" i="52"/>
  <c r="Q26" i="52"/>
  <c r="O26" i="52"/>
  <c r="M26" i="52"/>
  <c r="W25" i="52"/>
  <c r="U25" i="52"/>
  <c r="S25" i="52"/>
  <c r="Q25" i="52"/>
  <c r="O25" i="52"/>
  <c r="M25" i="52"/>
  <c r="W24" i="52"/>
  <c r="U24" i="52"/>
  <c r="S24" i="52"/>
  <c r="Q24" i="52"/>
  <c r="O24" i="52"/>
  <c r="M24" i="52"/>
  <c r="W23" i="52"/>
  <c r="U23" i="52"/>
  <c r="S23" i="52"/>
  <c r="Q23" i="52"/>
  <c r="O23" i="52"/>
  <c r="M23" i="52"/>
  <c r="W22" i="52"/>
  <c r="U22" i="52"/>
  <c r="S22" i="52"/>
  <c r="Q22" i="52"/>
  <c r="O22" i="52"/>
  <c r="M22" i="52"/>
  <c r="W21" i="52"/>
  <c r="U21" i="52"/>
  <c r="S21" i="52"/>
  <c r="Q21" i="52"/>
  <c r="O21" i="52"/>
  <c r="M21" i="52"/>
  <c r="W20" i="52"/>
  <c r="U20" i="52"/>
  <c r="S20" i="52"/>
  <c r="Q20" i="52"/>
  <c r="O20" i="52"/>
  <c r="M20" i="52"/>
  <c r="W19" i="52"/>
  <c r="U19" i="52"/>
  <c r="S19" i="52"/>
  <c r="Q19" i="52"/>
  <c r="O19" i="52"/>
  <c r="M19" i="52"/>
  <c r="W18" i="52"/>
  <c r="U18" i="52"/>
  <c r="S18" i="52"/>
  <c r="Q18" i="52"/>
  <c r="O18" i="52"/>
  <c r="M18" i="52"/>
  <c r="W17" i="52"/>
  <c r="U17" i="52"/>
  <c r="S17" i="52"/>
  <c r="Q17" i="52"/>
  <c r="O17" i="52"/>
  <c r="M17" i="52"/>
  <c r="W16" i="52"/>
  <c r="U16" i="52"/>
  <c r="S16" i="52"/>
  <c r="Q16" i="52"/>
  <c r="O16" i="52"/>
  <c r="M16" i="52"/>
  <c r="W15" i="52"/>
  <c r="U15" i="52"/>
  <c r="S15" i="52"/>
  <c r="Q15" i="52"/>
  <c r="O15" i="52"/>
  <c r="M15" i="52"/>
  <c r="W14" i="52"/>
  <c r="U14" i="52"/>
  <c r="S14" i="52"/>
  <c r="Q14" i="52"/>
  <c r="O14" i="52"/>
  <c r="M14" i="52"/>
  <c r="W13" i="52"/>
  <c r="U13" i="52"/>
  <c r="S13" i="52"/>
  <c r="Q13" i="52"/>
  <c r="O13" i="52"/>
  <c r="M13" i="52"/>
  <c r="W12" i="52"/>
  <c r="U12" i="52"/>
  <c r="S12" i="52"/>
  <c r="Q12" i="52"/>
  <c r="O12" i="52"/>
  <c r="M12" i="52"/>
  <c r="W11" i="52"/>
  <c r="U11" i="52"/>
  <c r="S11" i="52"/>
  <c r="Q11" i="52"/>
  <c r="O11" i="52"/>
  <c r="M11" i="52"/>
  <c r="W10" i="52"/>
  <c r="U10" i="52"/>
  <c r="S10" i="52"/>
  <c r="Q10" i="52"/>
  <c r="O10" i="52"/>
  <c r="M10" i="52"/>
  <c r="W9" i="52"/>
  <c r="U9" i="52"/>
  <c r="S9" i="52"/>
  <c r="Q9" i="52"/>
  <c r="O9" i="52"/>
  <c r="M9" i="52"/>
  <c r="W33" i="51"/>
  <c r="U33" i="51"/>
  <c r="S33" i="51"/>
  <c r="Q33" i="51"/>
  <c r="O33" i="51"/>
  <c r="M33" i="51"/>
  <c r="W31" i="51"/>
  <c r="U31" i="51"/>
  <c r="S31" i="51"/>
  <c r="Q31" i="51"/>
  <c r="O31" i="51"/>
  <c r="M31" i="51"/>
  <c r="W30" i="51"/>
  <c r="U30" i="51"/>
  <c r="S30" i="51"/>
  <c r="Q30" i="51"/>
  <c r="O30" i="51"/>
  <c r="M30" i="51"/>
  <c r="W29" i="51"/>
  <c r="U29" i="51"/>
  <c r="S29" i="51"/>
  <c r="Q29" i="51"/>
  <c r="O29" i="51"/>
  <c r="M29" i="51"/>
  <c r="W28" i="51"/>
  <c r="U28" i="51"/>
  <c r="S28" i="51"/>
  <c r="Q28" i="51"/>
  <c r="O28" i="51"/>
  <c r="M28" i="51"/>
  <c r="W27" i="51"/>
  <c r="U27" i="51"/>
  <c r="S27" i="51"/>
  <c r="Q27" i="51"/>
  <c r="O27" i="51"/>
  <c r="M27" i="51"/>
  <c r="W26" i="51"/>
  <c r="U26" i="51"/>
  <c r="S26" i="51"/>
  <c r="Q26" i="51"/>
  <c r="O26" i="51"/>
  <c r="M26" i="51"/>
  <c r="W25" i="51"/>
  <c r="U25" i="51"/>
  <c r="S25" i="51"/>
  <c r="Q25" i="51"/>
  <c r="O25" i="51"/>
  <c r="M25" i="51"/>
  <c r="W24" i="51"/>
  <c r="U24" i="51"/>
  <c r="S24" i="51"/>
  <c r="Q24" i="51"/>
  <c r="O24" i="51"/>
  <c r="M24" i="51"/>
  <c r="W23" i="51"/>
  <c r="U23" i="51"/>
  <c r="S23" i="51"/>
  <c r="Q23" i="51"/>
  <c r="O23" i="51"/>
  <c r="M23" i="51"/>
  <c r="W22" i="51"/>
  <c r="U22" i="51"/>
  <c r="S22" i="51"/>
  <c r="Q22" i="51"/>
  <c r="O22" i="51"/>
  <c r="M22" i="51"/>
  <c r="W21" i="51"/>
  <c r="U21" i="51"/>
  <c r="S21" i="51"/>
  <c r="Q21" i="51"/>
  <c r="O21" i="51"/>
  <c r="M21" i="51"/>
  <c r="W20" i="51"/>
  <c r="U20" i="51"/>
  <c r="S20" i="51"/>
  <c r="Q20" i="51"/>
  <c r="O20" i="51"/>
  <c r="M20" i="51"/>
  <c r="W19" i="51"/>
  <c r="U19" i="51"/>
  <c r="S19" i="51"/>
  <c r="Q19" i="51"/>
  <c r="O19" i="51"/>
  <c r="M19" i="51"/>
  <c r="W18" i="51"/>
  <c r="U18" i="51"/>
  <c r="S18" i="51"/>
  <c r="Q18" i="51"/>
  <c r="O18" i="51"/>
  <c r="M18" i="51"/>
  <c r="W17" i="51"/>
  <c r="U17" i="51"/>
  <c r="S17" i="51"/>
  <c r="Q17" i="51"/>
  <c r="O17" i="51"/>
  <c r="M17" i="51"/>
  <c r="W16" i="51"/>
  <c r="U16" i="51"/>
  <c r="S16" i="51"/>
  <c r="Q16" i="51"/>
  <c r="O16" i="51"/>
  <c r="M16" i="51"/>
  <c r="W15" i="51"/>
  <c r="U15" i="51"/>
  <c r="S15" i="51"/>
  <c r="Q15" i="51"/>
  <c r="O15" i="51"/>
  <c r="M15" i="51"/>
  <c r="W14" i="51"/>
  <c r="U14" i="51"/>
  <c r="S14" i="51"/>
  <c r="Q14" i="51"/>
  <c r="O14" i="51"/>
  <c r="M14" i="51"/>
  <c r="W13" i="51"/>
  <c r="U13" i="51"/>
  <c r="S13" i="51"/>
  <c r="Q13" i="51"/>
  <c r="O13" i="51"/>
  <c r="M13" i="51"/>
  <c r="W12" i="51"/>
  <c r="U12" i="51"/>
  <c r="S12" i="51"/>
  <c r="Q12" i="51"/>
  <c r="O12" i="51"/>
  <c r="M12" i="51"/>
  <c r="W11" i="51"/>
  <c r="U11" i="51"/>
  <c r="S11" i="51"/>
  <c r="Q11" i="51"/>
  <c r="O11" i="51"/>
  <c r="M11" i="51"/>
  <c r="W10" i="51"/>
  <c r="U10" i="51"/>
  <c r="S10" i="51"/>
  <c r="Q10" i="51"/>
  <c r="O10" i="51"/>
  <c r="M10" i="51"/>
  <c r="W9" i="51"/>
  <c r="U9" i="51"/>
  <c r="S9" i="51"/>
  <c r="Q9" i="51"/>
  <c r="O9" i="51"/>
  <c r="M9" i="51"/>
  <c r="W33" i="50"/>
  <c r="U33" i="50"/>
  <c r="S33" i="50"/>
  <c r="Q33" i="50"/>
  <c r="O33" i="50"/>
  <c r="M33" i="50"/>
  <c r="W31" i="50"/>
  <c r="U31" i="50"/>
  <c r="S31" i="50"/>
  <c r="Q31" i="50"/>
  <c r="O31" i="50"/>
  <c r="M31" i="50"/>
  <c r="W30" i="50"/>
  <c r="U30" i="50"/>
  <c r="S30" i="50"/>
  <c r="Q30" i="50"/>
  <c r="O30" i="50"/>
  <c r="M30" i="50"/>
  <c r="W29" i="50"/>
  <c r="U29" i="50"/>
  <c r="S29" i="50"/>
  <c r="Q29" i="50"/>
  <c r="O29" i="50"/>
  <c r="M29" i="50"/>
  <c r="W28" i="50"/>
  <c r="U28" i="50"/>
  <c r="S28" i="50"/>
  <c r="Q28" i="50"/>
  <c r="O28" i="50"/>
  <c r="M28" i="50"/>
  <c r="W27" i="50"/>
  <c r="U27" i="50"/>
  <c r="S27" i="50"/>
  <c r="Q27" i="50"/>
  <c r="O27" i="50"/>
  <c r="M27" i="50"/>
  <c r="W26" i="50"/>
  <c r="U26" i="50"/>
  <c r="S26" i="50"/>
  <c r="Q26" i="50"/>
  <c r="O26" i="50"/>
  <c r="M26" i="50"/>
  <c r="W25" i="50"/>
  <c r="U25" i="50"/>
  <c r="S25" i="50"/>
  <c r="Q25" i="50"/>
  <c r="O25" i="50"/>
  <c r="M25" i="50"/>
  <c r="W24" i="50"/>
  <c r="U24" i="50"/>
  <c r="S24" i="50"/>
  <c r="Q24" i="50"/>
  <c r="O24" i="50"/>
  <c r="M24" i="50"/>
  <c r="W23" i="50"/>
  <c r="U23" i="50"/>
  <c r="S23" i="50"/>
  <c r="Q23" i="50"/>
  <c r="O23" i="50"/>
  <c r="M23" i="50"/>
  <c r="W22" i="50"/>
  <c r="U22" i="50"/>
  <c r="S22" i="50"/>
  <c r="Q22" i="50"/>
  <c r="O22" i="50"/>
  <c r="M22" i="50"/>
  <c r="W21" i="50"/>
  <c r="U21" i="50"/>
  <c r="S21" i="50"/>
  <c r="Q21" i="50"/>
  <c r="O21" i="50"/>
  <c r="M21" i="50"/>
  <c r="W20" i="50"/>
  <c r="U20" i="50"/>
  <c r="S20" i="50"/>
  <c r="Q20" i="50"/>
  <c r="O20" i="50"/>
  <c r="M20" i="50"/>
  <c r="W19" i="50"/>
  <c r="U19" i="50"/>
  <c r="S19" i="50"/>
  <c r="Q19" i="50"/>
  <c r="O19" i="50"/>
  <c r="M19" i="50"/>
  <c r="W18" i="50"/>
  <c r="U18" i="50"/>
  <c r="S18" i="50"/>
  <c r="Q18" i="50"/>
  <c r="O18" i="50"/>
  <c r="M18" i="50"/>
  <c r="W17" i="50"/>
  <c r="U17" i="50"/>
  <c r="S17" i="50"/>
  <c r="Q17" i="50"/>
  <c r="O17" i="50"/>
  <c r="M17" i="50"/>
  <c r="W16" i="50"/>
  <c r="U16" i="50"/>
  <c r="S16" i="50"/>
  <c r="Q16" i="50"/>
  <c r="O16" i="50"/>
  <c r="M16" i="50"/>
  <c r="W15" i="50"/>
  <c r="U15" i="50"/>
  <c r="S15" i="50"/>
  <c r="Q15" i="50"/>
  <c r="O15" i="50"/>
  <c r="M15" i="50"/>
  <c r="W14" i="50"/>
  <c r="U14" i="50"/>
  <c r="S14" i="50"/>
  <c r="Q14" i="50"/>
  <c r="O14" i="50"/>
  <c r="M14" i="50"/>
  <c r="W13" i="50"/>
  <c r="U13" i="50"/>
  <c r="S13" i="50"/>
  <c r="Q13" i="50"/>
  <c r="O13" i="50"/>
  <c r="M13" i="50"/>
  <c r="W12" i="50"/>
  <c r="U12" i="50"/>
  <c r="S12" i="50"/>
  <c r="Q12" i="50"/>
  <c r="O12" i="50"/>
  <c r="M12" i="50"/>
  <c r="W11" i="50"/>
  <c r="U11" i="50"/>
  <c r="S11" i="50"/>
  <c r="Q11" i="50"/>
  <c r="O11" i="50"/>
  <c r="M11" i="50"/>
  <c r="W10" i="50"/>
  <c r="U10" i="50"/>
  <c r="S10" i="50"/>
  <c r="Q10" i="50"/>
  <c r="O10" i="50"/>
  <c r="M10" i="50"/>
  <c r="W9" i="50"/>
  <c r="U9" i="50"/>
  <c r="S9" i="50"/>
  <c r="Q9" i="50"/>
  <c r="O9" i="50"/>
  <c r="M9" i="50"/>
  <c r="W33" i="49"/>
  <c r="U33" i="49"/>
  <c r="S33" i="49"/>
  <c r="Q33" i="49"/>
  <c r="O33" i="49"/>
  <c r="M33" i="49"/>
  <c r="W31" i="49"/>
  <c r="U31" i="49"/>
  <c r="S31" i="49"/>
  <c r="Q31" i="49"/>
  <c r="O31" i="49"/>
  <c r="M31" i="49"/>
  <c r="W30" i="49"/>
  <c r="U30" i="49"/>
  <c r="S30" i="49"/>
  <c r="Q30" i="49"/>
  <c r="O30" i="49"/>
  <c r="M30" i="49"/>
  <c r="W29" i="49"/>
  <c r="U29" i="49"/>
  <c r="S29" i="49"/>
  <c r="Q29" i="49"/>
  <c r="O29" i="49"/>
  <c r="M29" i="49"/>
  <c r="W28" i="49"/>
  <c r="U28" i="49"/>
  <c r="S28" i="49"/>
  <c r="Q28" i="49"/>
  <c r="O28" i="49"/>
  <c r="M28" i="49"/>
  <c r="W27" i="49"/>
  <c r="U27" i="49"/>
  <c r="S27" i="49"/>
  <c r="Q27" i="49"/>
  <c r="O27" i="49"/>
  <c r="M27" i="49"/>
  <c r="W26" i="49"/>
  <c r="U26" i="49"/>
  <c r="S26" i="49"/>
  <c r="Q26" i="49"/>
  <c r="O26" i="49"/>
  <c r="M26" i="49"/>
  <c r="W25" i="49"/>
  <c r="U25" i="49"/>
  <c r="S25" i="49"/>
  <c r="Q25" i="49"/>
  <c r="O25" i="49"/>
  <c r="M25" i="49"/>
  <c r="W24" i="49"/>
  <c r="U24" i="49"/>
  <c r="S24" i="49"/>
  <c r="Q24" i="49"/>
  <c r="O24" i="49"/>
  <c r="M24" i="49"/>
  <c r="W23" i="49"/>
  <c r="U23" i="49"/>
  <c r="S23" i="49"/>
  <c r="Q23" i="49"/>
  <c r="O23" i="49"/>
  <c r="M23" i="49"/>
  <c r="W22" i="49"/>
  <c r="U22" i="49"/>
  <c r="S22" i="49"/>
  <c r="Q22" i="49"/>
  <c r="O22" i="49"/>
  <c r="M22" i="49"/>
  <c r="W21" i="49"/>
  <c r="U21" i="49"/>
  <c r="S21" i="49"/>
  <c r="Q21" i="49"/>
  <c r="O21" i="49"/>
  <c r="M21" i="49"/>
  <c r="W20" i="49"/>
  <c r="U20" i="49"/>
  <c r="S20" i="49"/>
  <c r="Q20" i="49"/>
  <c r="O20" i="49"/>
  <c r="M20" i="49"/>
  <c r="W19" i="49"/>
  <c r="U19" i="49"/>
  <c r="S19" i="49"/>
  <c r="Q19" i="49"/>
  <c r="O19" i="49"/>
  <c r="M19" i="49"/>
  <c r="W18" i="49"/>
  <c r="U18" i="49"/>
  <c r="S18" i="49"/>
  <c r="Q18" i="49"/>
  <c r="O18" i="49"/>
  <c r="M18" i="49"/>
  <c r="W17" i="49"/>
  <c r="U17" i="49"/>
  <c r="S17" i="49"/>
  <c r="Q17" i="49"/>
  <c r="O17" i="49"/>
  <c r="M17" i="49"/>
  <c r="W16" i="49"/>
  <c r="U16" i="49"/>
  <c r="S16" i="49"/>
  <c r="Q16" i="49"/>
  <c r="O16" i="49"/>
  <c r="M16" i="49"/>
  <c r="W15" i="49"/>
  <c r="U15" i="49"/>
  <c r="S15" i="49"/>
  <c r="Q15" i="49"/>
  <c r="O15" i="49"/>
  <c r="M15" i="49"/>
  <c r="W14" i="49"/>
  <c r="U14" i="49"/>
  <c r="S14" i="49"/>
  <c r="Q14" i="49"/>
  <c r="O14" i="49"/>
  <c r="M14" i="49"/>
  <c r="W13" i="49"/>
  <c r="U13" i="49"/>
  <c r="S13" i="49"/>
  <c r="Q13" i="49"/>
  <c r="O13" i="49"/>
  <c r="M13" i="49"/>
  <c r="W12" i="49"/>
  <c r="U12" i="49"/>
  <c r="S12" i="49"/>
  <c r="Q12" i="49"/>
  <c r="O12" i="49"/>
  <c r="M12" i="49"/>
  <c r="W11" i="49"/>
  <c r="U11" i="49"/>
  <c r="S11" i="49"/>
  <c r="Q11" i="49"/>
  <c r="O11" i="49"/>
  <c r="M11" i="49"/>
  <c r="W10" i="49"/>
  <c r="U10" i="49"/>
  <c r="S10" i="49"/>
  <c r="Q10" i="49"/>
  <c r="O10" i="49"/>
  <c r="M10" i="49"/>
  <c r="W9" i="49"/>
  <c r="U9" i="49"/>
  <c r="S9" i="49"/>
  <c r="Q9" i="49"/>
  <c r="O9" i="49"/>
  <c r="M9" i="49"/>
  <c r="W33" i="48"/>
  <c r="U33" i="48"/>
  <c r="S33" i="48"/>
  <c r="Q33" i="48"/>
  <c r="O33" i="48"/>
  <c r="M33" i="48"/>
  <c r="W31" i="48"/>
  <c r="U31" i="48"/>
  <c r="S31" i="48"/>
  <c r="Q31" i="48"/>
  <c r="O31" i="48"/>
  <c r="M31" i="48"/>
  <c r="W30" i="48"/>
  <c r="U30" i="48"/>
  <c r="S30" i="48"/>
  <c r="Q30" i="48"/>
  <c r="O30" i="48"/>
  <c r="M30" i="48"/>
  <c r="W29" i="48"/>
  <c r="U29" i="48"/>
  <c r="S29" i="48"/>
  <c r="Q29" i="48"/>
  <c r="O29" i="48"/>
  <c r="M29" i="48"/>
  <c r="W28" i="48"/>
  <c r="U28" i="48"/>
  <c r="S28" i="48"/>
  <c r="Q28" i="48"/>
  <c r="O28" i="48"/>
  <c r="M28" i="48"/>
  <c r="W27" i="48"/>
  <c r="U27" i="48"/>
  <c r="S27" i="48"/>
  <c r="Q27" i="48"/>
  <c r="O27" i="48"/>
  <c r="M27" i="48"/>
  <c r="W26" i="48"/>
  <c r="U26" i="48"/>
  <c r="S26" i="48"/>
  <c r="Q26" i="48"/>
  <c r="O26" i="48"/>
  <c r="M26" i="48"/>
  <c r="W25" i="48"/>
  <c r="U25" i="48"/>
  <c r="S25" i="48"/>
  <c r="Q25" i="48"/>
  <c r="O25" i="48"/>
  <c r="M25" i="48"/>
  <c r="W24" i="48"/>
  <c r="U24" i="48"/>
  <c r="S24" i="48"/>
  <c r="Q24" i="48"/>
  <c r="O24" i="48"/>
  <c r="M24" i="48"/>
  <c r="W23" i="48"/>
  <c r="U23" i="48"/>
  <c r="S23" i="48"/>
  <c r="Q23" i="48"/>
  <c r="O23" i="48"/>
  <c r="M23" i="48"/>
  <c r="W22" i="48"/>
  <c r="U22" i="48"/>
  <c r="S22" i="48"/>
  <c r="Q22" i="48"/>
  <c r="O22" i="48"/>
  <c r="M22" i="48"/>
  <c r="W21" i="48"/>
  <c r="U21" i="48"/>
  <c r="S21" i="48"/>
  <c r="Q21" i="48"/>
  <c r="O21" i="48"/>
  <c r="M21" i="48"/>
  <c r="W20" i="48"/>
  <c r="U20" i="48"/>
  <c r="S20" i="48"/>
  <c r="Q20" i="48"/>
  <c r="O20" i="48"/>
  <c r="M20" i="48"/>
  <c r="W19" i="48"/>
  <c r="U19" i="48"/>
  <c r="S19" i="48"/>
  <c r="Q19" i="48"/>
  <c r="O19" i="48"/>
  <c r="M19" i="48"/>
  <c r="W18" i="48"/>
  <c r="U18" i="48"/>
  <c r="S18" i="48"/>
  <c r="Q18" i="48"/>
  <c r="O18" i="48"/>
  <c r="M18" i="48"/>
  <c r="W17" i="48"/>
  <c r="U17" i="48"/>
  <c r="S17" i="48"/>
  <c r="Q17" i="48"/>
  <c r="O17" i="48"/>
  <c r="M17" i="48"/>
  <c r="W16" i="48"/>
  <c r="U16" i="48"/>
  <c r="S16" i="48"/>
  <c r="Q16" i="48"/>
  <c r="O16" i="48"/>
  <c r="M16" i="48"/>
  <c r="W15" i="48"/>
  <c r="U15" i="48"/>
  <c r="S15" i="48"/>
  <c r="Q15" i="48"/>
  <c r="O15" i="48"/>
  <c r="M15" i="48"/>
  <c r="W14" i="48"/>
  <c r="U14" i="48"/>
  <c r="S14" i="48"/>
  <c r="Q14" i="48"/>
  <c r="O14" i="48"/>
  <c r="M14" i="48"/>
  <c r="W13" i="48"/>
  <c r="U13" i="48"/>
  <c r="S13" i="48"/>
  <c r="Q13" i="48"/>
  <c r="O13" i="48"/>
  <c r="M13" i="48"/>
  <c r="W12" i="48"/>
  <c r="U12" i="48"/>
  <c r="S12" i="48"/>
  <c r="Q12" i="48"/>
  <c r="O12" i="48"/>
  <c r="M12" i="48"/>
  <c r="W11" i="48"/>
  <c r="U11" i="48"/>
  <c r="S11" i="48"/>
  <c r="Q11" i="48"/>
  <c r="O11" i="48"/>
  <c r="M11" i="48"/>
  <c r="W10" i="48"/>
  <c r="U10" i="48"/>
  <c r="S10" i="48"/>
  <c r="Q10" i="48"/>
  <c r="O10" i="48"/>
  <c r="M10" i="48"/>
  <c r="W9" i="48"/>
  <c r="U9" i="48"/>
  <c r="S9" i="48"/>
  <c r="Q9" i="48"/>
  <c r="O9" i="48"/>
  <c r="M9" i="48"/>
  <c r="W33" i="47"/>
  <c r="U33" i="47"/>
  <c r="S33" i="47"/>
  <c r="Q33" i="47"/>
  <c r="O33" i="47"/>
  <c r="M33" i="47"/>
  <c r="W31" i="47"/>
  <c r="U31" i="47"/>
  <c r="S31" i="47"/>
  <c r="Q31" i="47"/>
  <c r="O31" i="47"/>
  <c r="M31" i="47"/>
  <c r="W30" i="47"/>
  <c r="U30" i="47"/>
  <c r="S30" i="47"/>
  <c r="Q30" i="47"/>
  <c r="O30" i="47"/>
  <c r="M30" i="47"/>
  <c r="W29" i="47"/>
  <c r="U29" i="47"/>
  <c r="S29" i="47"/>
  <c r="Q29" i="47"/>
  <c r="O29" i="47"/>
  <c r="M29" i="47"/>
  <c r="W28" i="47"/>
  <c r="U28" i="47"/>
  <c r="S28" i="47"/>
  <c r="Q28" i="47"/>
  <c r="O28" i="47"/>
  <c r="M28" i="47"/>
  <c r="W27" i="47"/>
  <c r="U27" i="47"/>
  <c r="S27" i="47"/>
  <c r="Q27" i="47"/>
  <c r="O27" i="47"/>
  <c r="M27" i="47"/>
  <c r="W26" i="47"/>
  <c r="U26" i="47"/>
  <c r="S26" i="47"/>
  <c r="Q26" i="47"/>
  <c r="O26" i="47"/>
  <c r="M26" i="47"/>
  <c r="W25" i="47"/>
  <c r="U25" i="47"/>
  <c r="S25" i="47"/>
  <c r="Q25" i="47"/>
  <c r="O25" i="47"/>
  <c r="M25" i="47"/>
  <c r="W24" i="47"/>
  <c r="U24" i="47"/>
  <c r="S24" i="47"/>
  <c r="Q24" i="47"/>
  <c r="O24" i="47"/>
  <c r="M24" i="47"/>
  <c r="W23" i="47"/>
  <c r="U23" i="47"/>
  <c r="S23" i="47"/>
  <c r="Q23" i="47"/>
  <c r="O23" i="47"/>
  <c r="M23" i="47"/>
  <c r="W22" i="47"/>
  <c r="U22" i="47"/>
  <c r="S22" i="47"/>
  <c r="Q22" i="47"/>
  <c r="O22" i="47"/>
  <c r="M22" i="47"/>
  <c r="W21" i="47"/>
  <c r="U21" i="47"/>
  <c r="S21" i="47"/>
  <c r="Q21" i="47"/>
  <c r="O21" i="47"/>
  <c r="M21" i="47"/>
  <c r="W20" i="47"/>
  <c r="U20" i="47"/>
  <c r="S20" i="47"/>
  <c r="Q20" i="47"/>
  <c r="O20" i="47"/>
  <c r="M20" i="47"/>
  <c r="W19" i="47"/>
  <c r="U19" i="47"/>
  <c r="S19" i="47"/>
  <c r="Q19" i="47"/>
  <c r="O19" i="47"/>
  <c r="M19" i="47"/>
  <c r="W18" i="47"/>
  <c r="U18" i="47"/>
  <c r="S18" i="47"/>
  <c r="Q18" i="47"/>
  <c r="O18" i="47"/>
  <c r="M18" i="47"/>
  <c r="W17" i="47"/>
  <c r="U17" i="47"/>
  <c r="S17" i="47"/>
  <c r="Q17" i="47"/>
  <c r="O17" i="47"/>
  <c r="M17" i="47"/>
  <c r="W16" i="47"/>
  <c r="U16" i="47"/>
  <c r="S16" i="47"/>
  <c r="Q16" i="47"/>
  <c r="O16" i="47"/>
  <c r="M16" i="47"/>
  <c r="W15" i="47"/>
  <c r="U15" i="47"/>
  <c r="S15" i="47"/>
  <c r="Q15" i="47"/>
  <c r="O15" i="47"/>
  <c r="M15" i="47"/>
  <c r="W14" i="47"/>
  <c r="U14" i="47"/>
  <c r="S14" i="47"/>
  <c r="Q14" i="47"/>
  <c r="O14" i="47"/>
  <c r="M14" i="47"/>
  <c r="W13" i="47"/>
  <c r="U13" i="47"/>
  <c r="S13" i="47"/>
  <c r="Q13" i="47"/>
  <c r="O13" i="47"/>
  <c r="M13" i="47"/>
  <c r="W12" i="47"/>
  <c r="U12" i="47"/>
  <c r="S12" i="47"/>
  <c r="Q12" i="47"/>
  <c r="O12" i="47"/>
  <c r="M12" i="47"/>
  <c r="W11" i="47"/>
  <c r="U11" i="47"/>
  <c r="S11" i="47"/>
  <c r="Q11" i="47"/>
  <c r="O11" i="47"/>
  <c r="M11" i="47"/>
  <c r="W10" i="47"/>
  <c r="U10" i="47"/>
  <c r="S10" i="47"/>
  <c r="Q10" i="47"/>
  <c r="O10" i="47"/>
  <c r="M10" i="47"/>
  <c r="W9" i="47"/>
  <c r="U9" i="47"/>
  <c r="S9" i="47"/>
  <c r="Q9" i="47"/>
  <c r="O9" i="47"/>
  <c r="M9" i="47"/>
  <c r="W33" i="46"/>
  <c r="U33" i="46"/>
  <c r="S33" i="46"/>
  <c r="Q33" i="46"/>
  <c r="O33" i="46"/>
  <c r="M33" i="46"/>
  <c r="W31" i="46"/>
  <c r="U31" i="46"/>
  <c r="S31" i="46"/>
  <c r="Q31" i="46"/>
  <c r="O31" i="46"/>
  <c r="M31" i="46"/>
  <c r="W30" i="46"/>
  <c r="U30" i="46"/>
  <c r="S30" i="46"/>
  <c r="Q30" i="46"/>
  <c r="O30" i="46"/>
  <c r="M30" i="46"/>
  <c r="W29" i="46"/>
  <c r="U29" i="46"/>
  <c r="S29" i="46"/>
  <c r="Q29" i="46"/>
  <c r="O29" i="46"/>
  <c r="M29" i="46"/>
  <c r="W28" i="46"/>
  <c r="U28" i="46"/>
  <c r="S28" i="46"/>
  <c r="Q28" i="46"/>
  <c r="O28" i="46"/>
  <c r="M28" i="46"/>
  <c r="W27" i="46"/>
  <c r="U27" i="46"/>
  <c r="S27" i="46"/>
  <c r="Q27" i="46"/>
  <c r="O27" i="46"/>
  <c r="M27" i="46"/>
  <c r="W26" i="46"/>
  <c r="U26" i="46"/>
  <c r="S26" i="46"/>
  <c r="Q26" i="46"/>
  <c r="O26" i="46"/>
  <c r="M26" i="46"/>
  <c r="W25" i="46"/>
  <c r="U25" i="46"/>
  <c r="S25" i="46"/>
  <c r="Q25" i="46"/>
  <c r="O25" i="46"/>
  <c r="M25" i="46"/>
  <c r="W24" i="46"/>
  <c r="U24" i="46"/>
  <c r="S24" i="46"/>
  <c r="Q24" i="46"/>
  <c r="O24" i="46"/>
  <c r="M24" i="46"/>
  <c r="W23" i="46"/>
  <c r="U23" i="46"/>
  <c r="S23" i="46"/>
  <c r="Q23" i="46"/>
  <c r="O23" i="46"/>
  <c r="M23" i="46"/>
  <c r="W22" i="46"/>
  <c r="U22" i="46"/>
  <c r="S22" i="46"/>
  <c r="Q22" i="46"/>
  <c r="O22" i="46"/>
  <c r="M22" i="46"/>
  <c r="W21" i="46"/>
  <c r="U21" i="46"/>
  <c r="S21" i="46"/>
  <c r="Q21" i="46"/>
  <c r="O21" i="46"/>
  <c r="M21" i="46"/>
  <c r="W20" i="46"/>
  <c r="U20" i="46"/>
  <c r="S20" i="46"/>
  <c r="Q20" i="46"/>
  <c r="O20" i="46"/>
  <c r="M20" i="46"/>
  <c r="W19" i="46"/>
  <c r="U19" i="46"/>
  <c r="S19" i="46"/>
  <c r="Q19" i="46"/>
  <c r="O19" i="46"/>
  <c r="M19" i="46"/>
  <c r="W18" i="46"/>
  <c r="U18" i="46"/>
  <c r="S18" i="46"/>
  <c r="Q18" i="46"/>
  <c r="O18" i="46"/>
  <c r="M18" i="46"/>
  <c r="W17" i="46"/>
  <c r="U17" i="46"/>
  <c r="S17" i="46"/>
  <c r="Q17" i="46"/>
  <c r="O17" i="46"/>
  <c r="M17" i="46"/>
  <c r="W16" i="46"/>
  <c r="U16" i="46"/>
  <c r="S16" i="46"/>
  <c r="Q16" i="46"/>
  <c r="O16" i="46"/>
  <c r="M16" i="46"/>
  <c r="W15" i="46"/>
  <c r="U15" i="46"/>
  <c r="S15" i="46"/>
  <c r="Q15" i="46"/>
  <c r="O15" i="46"/>
  <c r="M15" i="46"/>
  <c r="W14" i="46"/>
  <c r="U14" i="46"/>
  <c r="S14" i="46"/>
  <c r="Q14" i="46"/>
  <c r="O14" i="46"/>
  <c r="M14" i="46"/>
  <c r="W13" i="46"/>
  <c r="U13" i="46"/>
  <c r="S13" i="46"/>
  <c r="Q13" i="46"/>
  <c r="O13" i="46"/>
  <c r="M13" i="46"/>
  <c r="W12" i="46"/>
  <c r="U12" i="46"/>
  <c r="S12" i="46"/>
  <c r="Q12" i="46"/>
  <c r="O12" i="46"/>
  <c r="M12" i="46"/>
  <c r="W11" i="46"/>
  <c r="U11" i="46"/>
  <c r="S11" i="46"/>
  <c r="Q11" i="46"/>
  <c r="O11" i="46"/>
  <c r="M11" i="46"/>
  <c r="W10" i="46"/>
  <c r="U10" i="46"/>
  <c r="S10" i="46"/>
  <c r="Q10" i="46"/>
  <c r="O10" i="46"/>
  <c r="M10" i="46"/>
  <c r="W9" i="46"/>
  <c r="U9" i="46"/>
  <c r="S9" i="46"/>
  <c r="Q9" i="46"/>
  <c r="O9" i="46"/>
  <c r="M9" i="46"/>
  <c r="W33" i="45"/>
  <c r="U33" i="45"/>
  <c r="S33" i="45"/>
  <c r="Q33" i="45"/>
  <c r="O33" i="45"/>
  <c r="M33" i="45"/>
  <c r="W31" i="45"/>
  <c r="U31" i="45"/>
  <c r="S31" i="45"/>
  <c r="Q31" i="45"/>
  <c r="O31" i="45"/>
  <c r="M31" i="45"/>
  <c r="W30" i="45"/>
  <c r="U30" i="45"/>
  <c r="S30" i="45"/>
  <c r="Q30" i="45"/>
  <c r="O30" i="45"/>
  <c r="M30" i="45"/>
  <c r="W29" i="45"/>
  <c r="U29" i="45"/>
  <c r="S29" i="45"/>
  <c r="Q29" i="45"/>
  <c r="O29" i="45"/>
  <c r="M29" i="45"/>
  <c r="W28" i="45"/>
  <c r="U28" i="45"/>
  <c r="S28" i="45"/>
  <c r="Q28" i="45"/>
  <c r="O28" i="45"/>
  <c r="M28" i="45"/>
  <c r="W27" i="45"/>
  <c r="U27" i="45"/>
  <c r="S27" i="45"/>
  <c r="Q27" i="45"/>
  <c r="O27" i="45"/>
  <c r="M27" i="45"/>
  <c r="W26" i="45"/>
  <c r="U26" i="45"/>
  <c r="S26" i="45"/>
  <c r="Q26" i="45"/>
  <c r="O26" i="45"/>
  <c r="M26" i="45"/>
  <c r="W25" i="45"/>
  <c r="U25" i="45"/>
  <c r="S25" i="45"/>
  <c r="Q25" i="45"/>
  <c r="O25" i="45"/>
  <c r="M25" i="45"/>
  <c r="W24" i="45"/>
  <c r="U24" i="45"/>
  <c r="S24" i="45"/>
  <c r="Q24" i="45"/>
  <c r="O24" i="45"/>
  <c r="M24" i="45"/>
  <c r="W23" i="45"/>
  <c r="U23" i="45"/>
  <c r="S23" i="45"/>
  <c r="Q23" i="45"/>
  <c r="O23" i="45"/>
  <c r="M23" i="45"/>
  <c r="W22" i="45"/>
  <c r="U22" i="45"/>
  <c r="S22" i="45"/>
  <c r="Q22" i="45"/>
  <c r="O22" i="45"/>
  <c r="M22" i="45"/>
  <c r="W21" i="45"/>
  <c r="U21" i="45"/>
  <c r="S21" i="45"/>
  <c r="Q21" i="45"/>
  <c r="O21" i="45"/>
  <c r="M21" i="45"/>
  <c r="W20" i="45"/>
  <c r="U20" i="45"/>
  <c r="S20" i="45"/>
  <c r="Q20" i="45"/>
  <c r="O20" i="45"/>
  <c r="M20" i="45"/>
  <c r="W19" i="45"/>
  <c r="U19" i="45"/>
  <c r="S19" i="45"/>
  <c r="Q19" i="45"/>
  <c r="O19" i="45"/>
  <c r="M19" i="45"/>
  <c r="W18" i="45"/>
  <c r="U18" i="45"/>
  <c r="S18" i="45"/>
  <c r="Q18" i="45"/>
  <c r="O18" i="45"/>
  <c r="M18" i="45"/>
  <c r="W17" i="45"/>
  <c r="U17" i="45"/>
  <c r="S17" i="45"/>
  <c r="Q17" i="45"/>
  <c r="O17" i="45"/>
  <c r="M17" i="45"/>
  <c r="W16" i="45"/>
  <c r="U16" i="45"/>
  <c r="S16" i="45"/>
  <c r="Q16" i="45"/>
  <c r="O16" i="45"/>
  <c r="M16" i="45"/>
  <c r="W15" i="45"/>
  <c r="U15" i="45"/>
  <c r="S15" i="45"/>
  <c r="Q15" i="45"/>
  <c r="O15" i="45"/>
  <c r="M15" i="45"/>
  <c r="W14" i="45"/>
  <c r="U14" i="45"/>
  <c r="S14" i="45"/>
  <c r="Q14" i="45"/>
  <c r="O14" i="45"/>
  <c r="M14" i="45"/>
  <c r="W13" i="45"/>
  <c r="U13" i="45"/>
  <c r="S13" i="45"/>
  <c r="Q13" i="45"/>
  <c r="O13" i="45"/>
  <c r="M13" i="45"/>
  <c r="W12" i="45"/>
  <c r="U12" i="45"/>
  <c r="S12" i="45"/>
  <c r="Q12" i="45"/>
  <c r="O12" i="45"/>
  <c r="M12" i="45"/>
  <c r="W11" i="45"/>
  <c r="U11" i="45"/>
  <c r="S11" i="45"/>
  <c r="Q11" i="45"/>
  <c r="O11" i="45"/>
  <c r="M11" i="45"/>
  <c r="W10" i="45"/>
  <c r="U10" i="45"/>
  <c r="S10" i="45"/>
  <c r="Q10" i="45"/>
  <c r="O10" i="45"/>
  <c r="M10" i="45"/>
  <c r="W9" i="45"/>
  <c r="U9" i="45"/>
  <c r="S9" i="45"/>
  <c r="Q9" i="45"/>
  <c r="O9" i="45"/>
  <c r="M9" i="45"/>
  <c r="W33" i="44"/>
  <c r="U33" i="44"/>
  <c r="S33" i="44"/>
  <c r="Q33" i="44"/>
  <c r="O33" i="44"/>
  <c r="M33" i="44"/>
  <c r="W31" i="44"/>
  <c r="U31" i="44"/>
  <c r="S31" i="44"/>
  <c r="Q31" i="44"/>
  <c r="O31" i="44"/>
  <c r="M31" i="44"/>
  <c r="W30" i="44"/>
  <c r="U30" i="44"/>
  <c r="S30" i="44"/>
  <c r="Q30" i="44"/>
  <c r="O30" i="44"/>
  <c r="M30" i="44"/>
  <c r="W29" i="44"/>
  <c r="U29" i="44"/>
  <c r="S29" i="44"/>
  <c r="Q29" i="44"/>
  <c r="O29" i="44"/>
  <c r="M29" i="44"/>
  <c r="W28" i="44"/>
  <c r="U28" i="44"/>
  <c r="S28" i="44"/>
  <c r="Q28" i="44"/>
  <c r="O28" i="44"/>
  <c r="M28" i="44"/>
  <c r="W27" i="44"/>
  <c r="U27" i="44"/>
  <c r="S27" i="44"/>
  <c r="Q27" i="44"/>
  <c r="O27" i="44"/>
  <c r="M27" i="44"/>
  <c r="W26" i="44"/>
  <c r="U26" i="44"/>
  <c r="S26" i="44"/>
  <c r="Q26" i="44"/>
  <c r="O26" i="44"/>
  <c r="M26" i="44"/>
  <c r="W25" i="44"/>
  <c r="U25" i="44"/>
  <c r="S25" i="44"/>
  <c r="Q25" i="44"/>
  <c r="O25" i="44"/>
  <c r="M25" i="44"/>
  <c r="W24" i="44"/>
  <c r="U24" i="44"/>
  <c r="S24" i="44"/>
  <c r="Q24" i="44"/>
  <c r="O24" i="44"/>
  <c r="M24" i="44"/>
  <c r="W23" i="44"/>
  <c r="U23" i="44"/>
  <c r="S23" i="44"/>
  <c r="Q23" i="44"/>
  <c r="O23" i="44"/>
  <c r="M23" i="44"/>
  <c r="W22" i="44"/>
  <c r="U22" i="44"/>
  <c r="S22" i="44"/>
  <c r="Q22" i="44"/>
  <c r="O22" i="44"/>
  <c r="M22" i="44"/>
  <c r="W21" i="44"/>
  <c r="U21" i="44"/>
  <c r="S21" i="44"/>
  <c r="Q21" i="44"/>
  <c r="O21" i="44"/>
  <c r="M21" i="44"/>
  <c r="W20" i="44"/>
  <c r="U20" i="44"/>
  <c r="S20" i="44"/>
  <c r="Q20" i="44"/>
  <c r="O20" i="44"/>
  <c r="M20" i="44"/>
  <c r="W19" i="44"/>
  <c r="U19" i="44"/>
  <c r="S19" i="44"/>
  <c r="Q19" i="44"/>
  <c r="O19" i="44"/>
  <c r="M19" i="44"/>
  <c r="W18" i="44"/>
  <c r="U18" i="44"/>
  <c r="S18" i="44"/>
  <c r="Q18" i="44"/>
  <c r="O18" i="44"/>
  <c r="M18" i="44"/>
  <c r="W17" i="44"/>
  <c r="U17" i="44"/>
  <c r="S17" i="44"/>
  <c r="Q17" i="44"/>
  <c r="O17" i="44"/>
  <c r="M17" i="44"/>
  <c r="W16" i="44"/>
  <c r="U16" i="44"/>
  <c r="S16" i="44"/>
  <c r="Q16" i="44"/>
  <c r="O16" i="44"/>
  <c r="M16" i="44"/>
  <c r="W15" i="44"/>
  <c r="U15" i="44"/>
  <c r="S15" i="44"/>
  <c r="Q15" i="44"/>
  <c r="O15" i="44"/>
  <c r="M15" i="44"/>
  <c r="W14" i="44"/>
  <c r="U14" i="44"/>
  <c r="S14" i="44"/>
  <c r="Q14" i="44"/>
  <c r="O14" i="44"/>
  <c r="M14" i="44"/>
  <c r="W13" i="44"/>
  <c r="U13" i="44"/>
  <c r="S13" i="44"/>
  <c r="Q13" i="44"/>
  <c r="O13" i="44"/>
  <c r="M13" i="44"/>
  <c r="W12" i="44"/>
  <c r="U12" i="44"/>
  <c r="S12" i="44"/>
  <c r="Q12" i="44"/>
  <c r="O12" i="44"/>
  <c r="M12" i="44"/>
  <c r="W11" i="44"/>
  <c r="U11" i="44"/>
  <c r="S11" i="44"/>
  <c r="Q11" i="44"/>
  <c r="O11" i="44"/>
  <c r="M11" i="44"/>
  <c r="W10" i="44"/>
  <c r="U10" i="44"/>
  <c r="S10" i="44"/>
  <c r="Q10" i="44"/>
  <c r="O10" i="44"/>
  <c r="M10" i="44"/>
  <c r="W9" i="44"/>
  <c r="U9" i="44"/>
  <c r="S9" i="44"/>
  <c r="Q9" i="44"/>
  <c r="O9" i="44"/>
  <c r="M9" i="44"/>
  <c r="W33" i="43"/>
  <c r="U33" i="43"/>
  <c r="S33" i="43"/>
  <c r="Q33" i="43"/>
  <c r="O33" i="43"/>
  <c r="M33" i="43"/>
  <c r="W31" i="43"/>
  <c r="U31" i="43"/>
  <c r="S31" i="43"/>
  <c r="Q31" i="43"/>
  <c r="O31" i="43"/>
  <c r="M31" i="43"/>
  <c r="W30" i="43"/>
  <c r="U30" i="43"/>
  <c r="S30" i="43"/>
  <c r="Q30" i="43"/>
  <c r="O30" i="43"/>
  <c r="M30" i="43"/>
  <c r="W29" i="43"/>
  <c r="U29" i="43"/>
  <c r="S29" i="43"/>
  <c r="Q29" i="43"/>
  <c r="O29" i="43"/>
  <c r="M29" i="43"/>
  <c r="W28" i="43"/>
  <c r="U28" i="43"/>
  <c r="S28" i="43"/>
  <c r="Q28" i="43"/>
  <c r="O28" i="43"/>
  <c r="M28" i="43"/>
  <c r="W27" i="43"/>
  <c r="U27" i="43"/>
  <c r="S27" i="43"/>
  <c r="Q27" i="43"/>
  <c r="O27" i="43"/>
  <c r="M27" i="43"/>
  <c r="W26" i="43"/>
  <c r="U26" i="43"/>
  <c r="S26" i="43"/>
  <c r="Q26" i="43"/>
  <c r="O26" i="43"/>
  <c r="M26" i="43"/>
  <c r="W25" i="43"/>
  <c r="U25" i="43"/>
  <c r="S25" i="43"/>
  <c r="Q25" i="43"/>
  <c r="O25" i="43"/>
  <c r="M25" i="43"/>
  <c r="W24" i="43"/>
  <c r="U24" i="43"/>
  <c r="S24" i="43"/>
  <c r="Q24" i="43"/>
  <c r="O24" i="43"/>
  <c r="M24" i="43"/>
  <c r="W23" i="43"/>
  <c r="U23" i="43"/>
  <c r="S23" i="43"/>
  <c r="Q23" i="43"/>
  <c r="O23" i="43"/>
  <c r="M23" i="43"/>
  <c r="W22" i="43"/>
  <c r="U22" i="43"/>
  <c r="S22" i="43"/>
  <c r="Q22" i="43"/>
  <c r="O22" i="43"/>
  <c r="M22" i="43"/>
  <c r="W21" i="43"/>
  <c r="U21" i="43"/>
  <c r="S21" i="43"/>
  <c r="Q21" i="43"/>
  <c r="O21" i="43"/>
  <c r="M21" i="43"/>
  <c r="W20" i="43"/>
  <c r="U20" i="43"/>
  <c r="S20" i="43"/>
  <c r="Q20" i="43"/>
  <c r="O20" i="43"/>
  <c r="M20" i="43"/>
  <c r="W19" i="43"/>
  <c r="U19" i="43"/>
  <c r="S19" i="43"/>
  <c r="Q19" i="43"/>
  <c r="O19" i="43"/>
  <c r="M19" i="43"/>
  <c r="W18" i="43"/>
  <c r="U18" i="43"/>
  <c r="S18" i="43"/>
  <c r="Q18" i="43"/>
  <c r="O18" i="43"/>
  <c r="M18" i="43"/>
  <c r="W17" i="43"/>
  <c r="U17" i="43"/>
  <c r="S17" i="43"/>
  <c r="Q17" i="43"/>
  <c r="O17" i="43"/>
  <c r="M17" i="43"/>
  <c r="W16" i="43"/>
  <c r="U16" i="43"/>
  <c r="S16" i="43"/>
  <c r="Q16" i="43"/>
  <c r="O16" i="43"/>
  <c r="M16" i="43"/>
  <c r="W15" i="43"/>
  <c r="U15" i="43"/>
  <c r="S15" i="43"/>
  <c r="Q15" i="43"/>
  <c r="O15" i="43"/>
  <c r="M15" i="43"/>
  <c r="W14" i="43"/>
  <c r="U14" i="43"/>
  <c r="S14" i="43"/>
  <c r="Q14" i="43"/>
  <c r="O14" i="43"/>
  <c r="M14" i="43"/>
  <c r="W13" i="43"/>
  <c r="U13" i="43"/>
  <c r="S13" i="43"/>
  <c r="Q13" i="43"/>
  <c r="O13" i="43"/>
  <c r="M13" i="43"/>
  <c r="W12" i="43"/>
  <c r="U12" i="43"/>
  <c r="S12" i="43"/>
  <c r="Q12" i="43"/>
  <c r="O12" i="43"/>
  <c r="M12" i="43"/>
  <c r="W11" i="43"/>
  <c r="U11" i="43"/>
  <c r="S11" i="43"/>
  <c r="Q11" i="43"/>
  <c r="O11" i="43"/>
  <c r="M11" i="43"/>
  <c r="W10" i="43"/>
  <c r="U10" i="43"/>
  <c r="S10" i="43"/>
  <c r="Q10" i="43"/>
  <c r="O10" i="43"/>
  <c r="M10" i="43"/>
  <c r="W9" i="43"/>
  <c r="U9" i="43"/>
  <c r="S9" i="43"/>
  <c r="Q9" i="43"/>
  <c r="O9" i="43"/>
  <c r="M9" i="43"/>
  <c r="W33" i="42"/>
  <c r="U33" i="42"/>
  <c r="S33" i="42"/>
  <c r="Q33" i="42"/>
  <c r="O33" i="42"/>
  <c r="M33" i="42"/>
  <c r="W31" i="42"/>
  <c r="U31" i="42"/>
  <c r="S31" i="42"/>
  <c r="Q31" i="42"/>
  <c r="O31" i="42"/>
  <c r="M31" i="42"/>
  <c r="W30" i="42"/>
  <c r="U30" i="42"/>
  <c r="S30" i="42"/>
  <c r="Q30" i="42"/>
  <c r="O30" i="42"/>
  <c r="M30" i="42"/>
  <c r="W29" i="42"/>
  <c r="U29" i="42"/>
  <c r="S29" i="42"/>
  <c r="Q29" i="42"/>
  <c r="O29" i="42"/>
  <c r="M29" i="42"/>
  <c r="W28" i="42"/>
  <c r="U28" i="42"/>
  <c r="S28" i="42"/>
  <c r="Q28" i="42"/>
  <c r="O28" i="42"/>
  <c r="M28" i="42"/>
  <c r="W27" i="42"/>
  <c r="U27" i="42"/>
  <c r="S27" i="42"/>
  <c r="Q27" i="42"/>
  <c r="O27" i="42"/>
  <c r="M27" i="42"/>
  <c r="W26" i="42"/>
  <c r="U26" i="42"/>
  <c r="S26" i="42"/>
  <c r="Q26" i="42"/>
  <c r="O26" i="42"/>
  <c r="M26" i="42"/>
  <c r="W25" i="42"/>
  <c r="U25" i="42"/>
  <c r="S25" i="42"/>
  <c r="Q25" i="42"/>
  <c r="O25" i="42"/>
  <c r="M25" i="42"/>
  <c r="W24" i="42"/>
  <c r="U24" i="42"/>
  <c r="S24" i="42"/>
  <c r="Q24" i="42"/>
  <c r="O24" i="42"/>
  <c r="M24" i="42"/>
  <c r="W23" i="42"/>
  <c r="U23" i="42"/>
  <c r="S23" i="42"/>
  <c r="Q23" i="42"/>
  <c r="O23" i="42"/>
  <c r="M23" i="42"/>
  <c r="W22" i="42"/>
  <c r="U22" i="42"/>
  <c r="S22" i="42"/>
  <c r="Q22" i="42"/>
  <c r="O22" i="42"/>
  <c r="M22" i="42"/>
  <c r="W21" i="42"/>
  <c r="U21" i="42"/>
  <c r="S21" i="42"/>
  <c r="Q21" i="42"/>
  <c r="O21" i="42"/>
  <c r="M21" i="42"/>
  <c r="W20" i="42"/>
  <c r="U20" i="42"/>
  <c r="S20" i="42"/>
  <c r="Q20" i="42"/>
  <c r="O20" i="42"/>
  <c r="M20" i="42"/>
  <c r="W19" i="42"/>
  <c r="U19" i="42"/>
  <c r="S19" i="42"/>
  <c r="Q19" i="42"/>
  <c r="O19" i="42"/>
  <c r="M19" i="42"/>
  <c r="W18" i="42"/>
  <c r="U18" i="42"/>
  <c r="S18" i="42"/>
  <c r="Q18" i="42"/>
  <c r="O18" i="42"/>
  <c r="M18" i="42"/>
  <c r="W17" i="42"/>
  <c r="U17" i="42"/>
  <c r="S17" i="42"/>
  <c r="Q17" i="42"/>
  <c r="O17" i="42"/>
  <c r="M17" i="42"/>
  <c r="W16" i="42"/>
  <c r="U16" i="42"/>
  <c r="S16" i="42"/>
  <c r="Q16" i="42"/>
  <c r="O16" i="42"/>
  <c r="M16" i="42"/>
  <c r="W15" i="42"/>
  <c r="U15" i="42"/>
  <c r="S15" i="42"/>
  <c r="Q15" i="42"/>
  <c r="O15" i="42"/>
  <c r="M15" i="42"/>
  <c r="W14" i="42"/>
  <c r="U14" i="42"/>
  <c r="S14" i="42"/>
  <c r="Q14" i="42"/>
  <c r="O14" i="42"/>
  <c r="M14" i="42"/>
  <c r="W13" i="42"/>
  <c r="U13" i="42"/>
  <c r="S13" i="42"/>
  <c r="Q13" i="42"/>
  <c r="O13" i="42"/>
  <c r="M13" i="42"/>
  <c r="W12" i="42"/>
  <c r="U12" i="42"/>
  <c r="S12" i="42"/>
  <c r="Q12" i="42"/>
  <c r="O12" i="42"/>
  <c r="M12" i="42"/>
  <c r="W11" i="42"/>
  <c r="U11" i="42"/>
  <c r="S11" i="42"/>
  <c r="Q11" i="42"/>
  <c r="O11" i="42"/>
  <c r="M11" i="42"/>
  <c r="W10" i="42"/>
  <c r="U10" i="42"/>
  <c r="S10" i="42"/>
  <c r="Q10" i="42"/>
  <c r="O10" i="42"/>
  <c r="M10" i="42"/>
  <c r="W9" i="42"/>
  <c r="U9" i="42"/>
  <c r="S9" i="42"/>
  <c r="Q9" i="42"/>
  <c r="O9" i="42"/>
  <c r="M9" i="42"/>
  <c r="W33" i="41"/>
  <c r="U33" i="41"/>
  <c r="S33" i="41"/>
  <c r="Q33" i="41"/>
  <c r="O33" i="41"/>
  <c r="M33" i="41"/>
  <c r="W31" i="41"/>
  <c r="U31" i="41"/>
  <c r="S31" i="41"/>
  <c r="Q31" i="41"/>
  <c r="O31" i="41"/>
  <c r="M31" i="41"/>
  <c r="W30" i="41"/>
  <c r="U30" i="41"/>
  <c r="S30" i="41"/>
  <c r="Q30" i="41"/>
  <c r="O30" i="41"/>
  <c r="M30" i="41"/>
  <c r="W29" i="41"/>
  <c r="U29" i="41"/>
  <c r="S29" i="41"/>
  <c r="Q29" i="41"/>
  <c r="O29" i="41"/>
  <c r="M29" i="41"/>
  <c r="W28" i="41"/>
  <c r="U28" i="41"/>
  <c r="S28" i="41"/>
  <c r="Q28" i="41"/>
  <c r="O28" i="41"/>
  <c r="M28" i="41"/>
  <c r="W27" i="41"/>
  <c r="U27" i="41"/>
  <c r="S27" i="41"/>
  <c r="Q27" i="41"/>
  <c r="O27" i="41"/>
  <c r="M27" i="41"/>
  <c r="W26" i="41"/>
  <c r="U26" i="41"/>
  <c r="S26" i="41"/>
  <c r="Q26" i="41"/>
  <c r="O26" i="41"/>
  <c r="M26" i="41"/>
  <c r="W25" i="41"/>
  <c r="U25" i="41"/>
  <c r="S25" i="41"/>
  <c r="Q25" i="41"/>
  <c r="O25" i="41"/>
  <c r="M25" i="41"/>
  <c r="W24" i="41"/>
  <c r="U24" i="41"/>
  <c r="S24" i="41"/>
  <c r="Q24" i="41"/>
  <c r="O24" i="41"/>
  <c r="M24" i="41"/>
  <c r="W23" i="41"/>
  <c r="U23" i="41"/>
  <c r="S23" i="41"/>
  <c r="Q23" i="41"/>
  <c r="O23" i="41"/>
  <c r="M23" i="41"/>
  <c r="W22" i="41"/>
  <c r="U22" i="41"/>
  <c r="S22" i="41"/>
  <c r="Q22" i="41"/>
  <c r="O22" i="41"/>
  <c r="M22" i="41"/>
  <c r="W21" i="41"/>
  <c r="U21" i="41"/>
  <c r="S21" i="41"/>
  <c r="Q21" i="41"/>
  <c r="O21" i="41"/>
  <c r="M21" i="41"/>
  <c r="W20" i="41"/>
  <c r="U20" i="41"/>
  <c r="S20" i="41"/>
  <c r="Q20" i="41"/>
  <c r="O20" i="41"/>
  <c r="M20" i="41"/>
  <c r="W19" i="41"/>
  <c r="U19" i="41"/>
  <c r="S19" i="41"/>
  <c r="Q19" i="41"/>
  <c r="O19" i="41"/>
  <c r="M19" i="41"/>
  <c r="W18" i="41"/>
  <c r="U18" i="41"/>
  <c r="S18" i="41"/>
  <c r="Q18" i="41"/>
  <c r="O18" i="41"/>
  <c r="M18" i="41"/>
  <c r="W17" i="41"/>
  <c r="U17" i="41"/>
  <c r="S17" i="41"/>
  <c r="Q17" i="41"/>
  <c r="O17" i="41"/>
  <c r="M17" i="41"/>
  <c r="W16" i="41"/>
  <c r="U16" i="41"/>
  <c r="S16" i="41"/>
  <c r="Q16" i="41"/>
  <c r="O16" i="41"/>
  <c r="M16" i="41"/>
  <c r="W15" i="41"/>
  <c r="U15" i="41"/>
  <c r="S15" i="41"/>
  <c r="Q15" i="41"/>
  <c r="O15" i="41"/>
  <c r="M15" i="41"/>
  <c r="W14" i="41"/>
  <c r="U14" i="41"/>
  <c r="S14" i="41"/>
  <c r="Q14" i="41"/>
  <c r="O14" i="41"/>
  <c r="M14" i="41"/>
  <c r="W13" i="41"/>
  <c r="U13" i="41"/>
  <c r="S13" i="41"/>
  <c r="Q13" i="41"/>
  <c r="O13" i="41"/>
  <c r="M13" i="41"/>
  <c r="W12" i="41"/>
  <c r="U12" i="41"/>
  <c r="S12" i="41"/>
  <c r="Q12" i="41"/>
  <c r="O12" i="41"/>
  <c r="M12" i="41"/>
  <c r="W11" i="41"/>
  <c r="U11" i="41"/>
  <c r="S11" i="41"/>
  <c r="Q11" i="41"/>
  <c r="O11" i="41"/>
  <c r="M11" i="41"/>
  <c r="W10" i="41"/>
  <c r="U10" i="41"/>
  <c r="S10" i="41"/>
  <c r="Q10" i="41"/>
  <c r="O10" i="41"/>
  <c r="M10" i="41"/>
  <c r="W9" i="41"/>
  <c r="U9" i="41"/>
  <c r="S9" i="41"/>
  <c r="Q9" i="41"/>
  <c r="O9" i="41"/>
  <c r="M9" i="41"/>
  <c r="W33" i="40"/>
  <c r="U33" i="40"/>
  <c r="S33" i="40"/>
  <c r="Q33" i="40"/>
  <c r="O33" i="40"/>
  <c r="M33" i="40"/>
  <c r="W31" i="40"/>
  <c r="U31" i="40"/>
  <c r="S31" i="40"/>
  <c r="Q31" i="40"/>
  <c r="O31" i="40"/>
  <c r="M31" i="40"/>
  <c r="W30" i="40"/>
  <c r="U30" i="40"/>
  <c r="S30" i="40"/>
  <c r="Q30" i="40"/>
  <c r="O30" i="40"/>
  <c r="M30" i="40"/>
  <c r="W29" i="40"/>
  <c r="U29" i="40"/>
  <c r="S29" i="40"/>
  <c r="Q29" i="40"/>
  <c r="O29" i="40"/>
  <c r="M29" i="40"/>
  <c r="W28" i="40"/>
  <c r="U28" i="40"/>
  <c r="S28" i="40"/>
  <c r="Q28" i="40"/>
  <c r="O28" i="40"/>
  <c r="M28" i="40"/>
  <c r="W27" i="40"/>
  <c r="U27" i="40"/>
  <c r="S27" i="40"/>
  <c r="Q27" i="40"/>
  <c r="O27" i="40"/>
  <c r="M27" i="40"/>
  <c r="W26" i="40"/>
  <c r="U26" i="40"/>
  <c r="S26" i="40"/>
  <c r="Q26" i="40"/>
  <c r="O26" i="40"/>
  <c r="M26" i="40"/>
  <c r="W25" i="40"/>
  <c r="U25" i="40"/>
  <c r="S25" i="40"/>
  <c r="Q25" i="40"/>
  <c r="O25" i="40"/>
  <c r="M25" i="40"/>
  <c r="W24" i="40"/>
  <c r="U24" i="40"/>
  <c r="S24" i="40"/>
  <c r="Q24" i="40"/>
  <c r="O24" i="40"/>
  <c r="M24" i="40"/>
  <c r="W23" i="40"/>
  <c r="U23" i="40"/>
  <c r="S23" i="40"/>
  <c r="Q23" i="40"/>
  <c r="O23" i="40"/>
  <c r="M23" i="40"/>
  <c r="W22" i="40"/>
  <c r="U22" i="40"/>
  <c r="S22" i="40"/>
  <c r="Q22" i="40"/>
  <c r="O22" i="40"/>
  <c r="M22" i="40"/>
  <c r="W21" i="40"/>
  <c r="U21" i="40"/>
  <c r="S21" i="40"/>
  <c r="Q21" i="40"/>
  <c r="O21" i="40"/>
  <c r="M21" i="40"/>
  <c r="W20" i="40"/>
  <c r="U20" i="40"/>
  <c r="S20" i="40"/>
  <c r="Q20" i="40"/>
  <c r="O20" i="40"/>
  <c r="M20" i="40"/>
  <c r="W19" i="40"/>
  <c r="U19" i="40"/>
  <c r="S19" i="40"/>
  <c r="Q19" i="40"/>
  <c r="O19" i="40"/>
  <c r="M19" i="40"/>
  <c r="W18" i="40"/>
  <c r="U18" i="40"/>
  <c r="S18" i="40"/>
  <c r="Q18" i="40"/>
  <c r="O18" i="40"/>
  <c r="M18" i="40"/>
  <c r="W17" i="40"/>
  <c r="U17" i="40"/>
  <c r="S17" i="40"/>
  <c r="Q17" i="40"/>
  <c r="O17" i="40"/>
  <c r="M17" i="40"/>
  <c r="W16" i="40"/>
  <c r="U16" i="40"/>
  <c r="S16" i="40"/>
  <c r="Q16" i="40"/>
  <c r="O16" i="40"/>
  <c r="M16" i="40"/>
  <c r="W15" i="40"/>
  <c r="U15" i="40"/>
  <c r="S15" i="40"/>
  <c r="Q15" i="40"/>
  <c r="O15" i="40"/>
  <c r="M15" i="40"/>
  <c r="W14" i="40"/>
  <c r="U14" i="40"/>
  <c r="S14" i="40"/>
  <c r="Q14" i="40"/>
  <c r="O14" i="40"/>
  <c r="M14" i="40"/>
  <c r="W13" i="40"/>
  <c r="U13" i="40"/>
  <c r="S13" i="40"/>
  <c r="Q13" i="40"/>
  <c r="O13" i="40"/>
  <c r="M13" i="40"/>
  <c r="W12" i="40"/>
  <c r="U12" i="40"/>
  <c r="S12" i="40"/>
  <c r="Q12" i="40"/>
  <c r="O12" i="40"/>
  <c r="M12" i="40"/>
  <c r="W11" i="40"/>
  <c r="U11" i="40"/>
  <c r="S11" i="40"/>
  <c r="Q11" i="40"/>
  <c r="O11" i="40"/>
  <c r="M11" i="40"/>
  <c r="W10" i="40"/>
  <c r="U10" i="40"/>
  <c r="S10" i="40"/>
  <c r="Q10" i="40"/>
  <c r="O10" i="40"/>
  <c r="M10" i="40"/>
  <c r="W9" i="40"/>
  <c r="U9" i="40"/>
  <c r="S9" i="40"/>
  <c r="Q9" i="40"/>
  <c r="O9" i="40"/>
  <c r="M9" i="40"/>
  <c r="W33" i="39"/>
  <c r="U33" i="39"/>
  <c r="S33" i="39"/>
  <c r="Q33" i="39"/>
  <c r="O33" i="39"/>
  <c r="M33" i="39"/>
  <c r="W31" i="39"/>
  <c r="U31" i="39"/>
  <c r="S31" i="39"/>
  <c r="Q31" i="39"/>
  <c r="O31" i="39"/>
  <c r="M31" i="39"/>
  <c r="W30" i="39"/>
  <c r="U30" i="39"/>
  <c r="S30" i="39"/>
  <c r="Q30" i="39"/>
  <c r="O30" i="39"/>
  <c r="M30" i="39"/>
  <c r="W29" i="39"/>
  <c r="U29" i="39"/>
  <c r="S29" i="39"/>
  <c r="Q29" i="39"/>
  <c r="O29" i="39"/>
  <c r="M29" i="39"/>
  <c r="W28" i="39"/>
  <c r="U28" i="39"/>
  <c r="S28" i="39"/>
  <c r="Q28" i="39"/>
  <c r="O28" i="39"/>
  <c r="M28" i="39"/>
  <c r="W27" i="39"/>
  <c r="U27" i="39"/>
  <c r="S27" i="39"/>
  <c r="Q27" i="39"/>
  <c r="O27" i="39"/>
  <c r="M27" i="39"/>
  <c r="W26" i="39"/>
  <c r="U26" i="39"/>
  <c r="S26" i="39"/>
  <c r="Q26" i="39"/>
  <c r="O26" i="39"/>
  <c r="M26" i="39"/>
  <c r="W25" i="39"/>
  <c r="U25" i="39"/>
  <c r="S25" i="39"/>
  <c r="Q25" i="39"/>
  <c r="O25" i="39"/>
  <c r="M25" i="39"/>
  <c r="W24" i="39"/>
  <c r="U24" i="39"/>
  <c r="S24" i="39"/>
  <c r="Q24" i="39"/>
  <c r="O24" i="39"/>
  <c r="M24" i="39"/>
  <c r="W23" i="39"/>
  <c r="U23" i="39"/>
  <c r="S23" i="39"/>
  <c r="Q23" i="39"/>
  <c r="O23" i="39"/>
  <c r="M23" i="39"/>
  <c r="W22" i="39"/>
  <c r="U22" i="39"/>
  <c r="S22" i="39"/>
  <c r="Q22" i="39"/>
  <c r="O22" i="39"/>
  <c r="M22" i="39"/>
  <c r="W21" i="39"/>
  <c r="U21" i="39"/>
  <c r="S21" i="39"/>
  <c r="Q21" i="39"/>
  <c r="O21" i="39"/>
  <c r="M21" i="39"/>
  <c r="W20" i="39"/>
  <c r="U20" i="39"/>
  <c r="S20" i="39"/>
  <c r="Q20" i="39"/>
  <c r="O20" i="39"/>
  <c r="M20" i="39"/>
  <c r="W19" i="39"/>
  <c r="U19" i="39"/>
  <c r="S19" i="39"/>
  <c r="Q19" i="39"/>
  <c r="O19" i="39"/>
  <c r="M19" i="39"/>
  <c r="W18" i="39"/>
  <c r="U18" i="39"/>
  <c r="S18" i="39"/>
  <c r="Q18" i="39"/>
  <c r="O18" i="39"/>
  <c r="M18" i="39"/>
  <c r="W17" i="39"/>
  <c r="U17" i="39"/>
  <c r="S17" i="39"/>
  <c r="Q17" i="39"/>
  <c r="O17" i="39"/>
  <c r="M17" i="39"/>
  <c r="W16" i="39"/>
  <c r="U16" i="39"/>
  <c r="S16" i="39"/>
  <c r="Q16" i="39"/>
  <c r="O16" i="39"/>
  <c r="M16" i="39"/>
  <c r="W15" i="39"/>
  <c r="U15" i="39"/>
  <c r="S15" i="39"/>
  <c r="Q15" i="39"/>
  <c r="O15" i="39"/>
  <c r="M15" i="39"/>
  <c r="W14" i="39"/>
  <c r="U14" i="39"/>
  <c r="S14" i="39"/>
  <c r="Q14" i="39"/>
  <c r="O14" i="39"/>
  <c r="M14" i="39"/>
  <c r="W13" i="39"/>
  <c r="U13" i="39"/>
  <c r="S13" i="39"/>
  <c r="Q13" i="39"/>
  <c r="O13" i="39"/>
  <c r="M13" i="39"/>
  <c r="W12" i="39"/>
  <c r="U12" i="39"/>
  <c r="S12" i="39"/>
  <c r="Q12" i="39"/>
  <c r="O12" i="39"/>
  <c r="M12" i="39"/>
  <c r="W11" i="39"/>
  <c r="U11" i="39"/>
  <c r="S11" i="39"/>
  <c r="Q11" i="39"/>
  <c r="O11" i="39"/>
  <c r="M11" i="39"/>
  <c r="W10" i="39"/>
  <c r="U10" i="39"/>
  <c r="S10" i="39"/>
  <c r="Q10" i="39"/>
  <c r="O10" i="39"/>
  <c r="M10" i="39"/>
  <c r="W9" i="39"/>
  <c r="U9" i="39"/>
  <c r="S9" i="39"/>
  <c r="Q9" i="39"/>
  <c r="O9" i="39"/>
  <c r="M9" i="39"/>
  <c r="W33" i="38"/>
  <c r="U33" i="38"/>
  <c r="S33" i="38"/>
  <c r="Q33" i="38"/>
  <c r="O33" i="38"/>
  <c r="M33" i="38"/>
  <c r="W31" i="38"/>
  <c r="U31" i="38"/>
  <c r="S31" i="38"/>
  <c r="Q31" i="38"/>
  <c r="O31" i="38"/>
  <c r="M31" i="38"/>
  <c r="W30" i="38"/>
  <c r="U30" i="38"/>
  <c r="S30" i="38"/>
  <c r="Q30" i="38"/>
  <c r="O30" i="38"/>
  <c r="M30" i="38"/>
  <c r="W29" i="38"/>
  <c r="U29" i="38"/>
  <c r="S29" i="38"/>
  <c r="Q29" i="38"/>
  <c r="O29" i="38"/>
  <c r="M29" i="38"/>
  <c r="W28" i="38"/>
  <c r="U28" i="38"/>
  <c r="S28" i="38"/>
  <c r="Q28" i="38"/>
  <c r="O28" i="38"/>
  <c r="M28" i="38"/>
  <c r="W27" i="38"/>
  <c r="U27" i="38"/>
  <c r="S27" i="38"/>
  <c r="Q27" i="38"/>
  <c r="O27" i="38"/>
  <c r="M27" i="38"/>
  <c r="W26" i="38"/>
  <c r="U26" i="38"/>
  <c r="S26" i="38"/>
  <c r="Q26" i="38"/>
  <c r="O26" i="38"/>
  <c r="M26" i="38"/>
  <c r="W25" i="38"/>
  <c r="U25" i="38"/>
  <c r="S25" i="38"/>
  <c r="Q25" i="38"/>
  <c r="O25" i="38"/>
  <c r="M25" i="38"/>
  <c r="W24" i="38"/>
  <c r="U24" i="38"/>
  <c r="S24" i="38"/>
  <c r="Q24" i="38"/>
  <c r="O24" i="38"/>
  <c r="M24" i="38"/>
  <c r="W23" i="38"/>
  <c r="U23" i="38"/>
  <c r="S23" i="38"/>
  <c r="Q23" i="38"/>
  <c r="O23" i="38"/>
  <c r="M23" i="38"/>
  <c r="W22" i="38"/>
  <c r="U22" i="38"/>
  <c r="S22" i="38"/>
  <c r="Q22" i="38"/>
  <c r="O22" i="38"/>
  <c r="M22" i="38"/>
  <c r="W21" i="38"/>
  <c r="U21" i="38"/>
  <c r="S21" i="38"/>
  <c r="Q21" i="38"/>
  <c r="O21" i="38"/>
  <c r="M21" i="38"/>
  <c r="W20" i="38"/>
  <c r="U20" i="38"/>
  <c r="S20" i="38"/>
  <c r="Q20" i="38"/>
  <c r="O20" i="38"/>
  <c r="M20" i="38"/>
  <c r="W19" i="38"/>
  <c r="U19" i="38"/>
  <c r="S19" i="38"/>
  <c r="Q19" i="38"/>
  <c r="O19" i="38"/>
  <c r="M19" i="38"/>
  <c r="W18" i="38"/>
  <c r="U18" i="38"/>
  <c r="S18" i="38"/>
  <c r="Q18" i="38"/>
  <c r="O18" i="38"/>
  <c r="M18" i="38"/>
  <c r="W17" i="38"/>
  <c r="U17" i="38"/>
  <c r="S17" i="38"/>
  <c r="Q17" i="38"/>
  <c r="O17" i="38"/>
  <c r="M17" i="38"/>
  <c r="W16" i="38"/>
  <c r="U16" i="38"/>
  <c r="S16" i="38"/>
  <c r="Q16" i="38"/>
  <c r="O16" i="38"/>
  <c r="M16" i="38"/>
  <c r="W15" i="38"/>
  <c r="U15" i="38"/>
  <c r="S15" i="38"/>
  <c r="Q15" i="38"/>
  <c r="O15" i="38"/>
  <c r="M15" i="38"/>
  <c r="W14" i="38"/>
  <c r="U14" i="38"/>
  <c r="S14" i="38"/>
  <c r="Q14" i="38"/>
  <c r="O14" i="38"/>
  <c r="M14" i="38"/>
  <c r="W13" i="38"/>
  <c r="U13" i="38"/>
  <c r="S13" i="38"/>
  <c r="Q13" i="38"/>
  <c r="O13" i="38"/>
  <c r="M13" i="38"/>
  <c r="W12" i="38"/>
  <c r="U12" i="38"/>
  <c r="S12" i="38"/>
  <c r="Q12" i="38"/>
  <c r="O12" i="38"/>
  <c r="M12" i="38"/>
  <c r="W11" i="38"/>
  <c r="U11" i="38"/>
  <c r="S11" i="38"/>
  <c r="Q11" i="38"/>
  <c r="O11" i="38"/>
  <c r="M11" i="38"/>
  <c r="W10" i="38"/>
  <c r="U10" i="38"/>
  <c r="S10" i="38"/>
  <c r="Q10" i="38"/>
  <c r="O10" i="38"/>
  <c r="M10" i="38"/>
  <c r="W9" i="38"/>
  <c r="U9" i="38"/>
  <c r="S9" i="38"/>
  <c r="Q9" i="38"/>
  <c r="O9" i="38"/>
  <c r="M9" i="38"/>
  <c r="W33" i="37"/>
  <c r="U33" i="37"/>
  <c r="S33" i="37"/>
  <c r="Q33" i="37"/>
  <c r="O33" i="37"/>
  <c r="M33" i="37"/>
  <c r="W31" i="37"/>
  <c r="U31" i="37"/>
  <c r="S31" i="37"/>
  <c r="Q31" i="37"/>
  <c r="O31" i="37"/>
  <c r="M31" i="37"/>
  <c r="W30" i="37"/>
  <c r="U30" i="37"/>
  <c r="S30" i="37"/>
  <c r="Q30" i="37"/>
  <c r="O30" i="37"/>
  <c r="M30" i="37"/>
  <c r="W29" i="37"/>
  <c r="U29" i="37"/>
  <c r="S29" i="37"/>
  <c r="Q29" i="37"/>
  <c r="O29" i="37"/>
  <c r="M29" i="37"/>
  <c r="W28" i="37"/>
  <c r="U28" i="37"/>
  <c r="S28" i="37"/>
  <c r="Q28" i="37"/>
  <c r="O28" i="37"/>
  <c r="M28" i="37"/>
  <c r="W27" i="37"/>
  <c r="U27" i="37"/>
  <c r="S27" i="37"/>
  <c r="Q27" i="37"/>
  <c r="O27" i="37"/>
  <c r="M27" i="37"/>
  <c r="W26" i="37"/>
  <c r="U26" i="37"/>
  <c r="S26" i="37"/>
  <c r="Q26" i="37"/>
  <c r="O26" i="37"/>
  <c r="M26" i="37"/>
  <c r="W25" i="37"/>
  <c r="U25" i="37"/>
  <c r="S25" i="37"/>
  <c r="Q25" i="37"/>
  <c r="O25" i="37"/>
  <c r="M25" i="37"/>
  <c r="W24" i="37"/>
  <c r="U24" i="37"/>
  <c r="S24" i="37"/>
  <c r="Q24" i="37"/>
  <c r="O24" i="37"/>
  <c r="M24" i="37"/>
  <c r="W23" i="37"/>
  <c r="U23" i="37"/>
  <c r="S23" i="37"/>
  <c r="Q23" i="37"/>
  <c r="O23" i="37"/>
  <c r="M23" i="37"/>
  <c r="W22" i="37"/>
  <c r="U22" i="37"/>
  <c r="S22" i="37"/>
  <c r="Q22" i="37"/>
  <c r="O22" i="37"/>
  <c r="M22" i="37"/>
  <c r="W21" i="37"/>
  <c r="U21" i="37"/>
  <c r="S21" i="37"/>
  <c r="Q21" i="37"/>
  <c r="O21" i="37"/>
  <c r="M21" i="37"/>
  <c r="W20" i="37"/>
  <c r="U20" i="37"/>
  <c r="S20" i="37"/>
  <c r="Q20" i="37"/>
  <c r="O20" i="37"/>
  <c r="M20" i="37"/>
  <c r="W19" i="37"/>
  <c r="U19" i="37"/>
  <c r="S19" i="37"/>
  <c r="Q19" i="37"/>
  <c r="O19" i="37"/>
  <c r="M19" i="37"/>
  <c r="W18" i="37"/>
  <c r="U18" i="37"/>
  <c r="S18" i="37"/>
  <c r="Q18" i="37"/>
  <c r="O18" i="37"/>
  <c r="M18" i="37"/>
  <c r="W17" i="37"/>
  <c r="U17" i="37"/>
  <c r="S17" i="37"/>
  <c r="Q17" i="37"/>
  <c r="O17" i="37"/>
  <c r="M17" i="37"/>
  <c r="W16" i="37"/>
  <c r="U16" i="37"/>
  <c r="S16" i="37"/>
  <c r="Q16" i="37"/>
  <c r="O16" i="37"/>
  <c r="M16" i="37"/>
  <c r="W15" i="37"/>
  <c r="U15" i="37"/>
  <c r="S15" i="37"/>
  <c r="Q15" i="37"/>
  <c r="O15" i="37"/>
  <c r="M15" i="37"/>
  <c r="W14" i="37"/>
  <c r="U14" i="37"/>
  <c r="S14" i="37"/>
  <c r="Q14" i="37"/>
  <c r="O14" i="37"/>
  <c r="M14" i="37"/>
  <c r="W13" i="37"/>
  <c r="U13" i="37"/>
  <c r="S13" i="37"/>
  <c r="Q13" i="37"/>
  <c r="O13" i="37"/>
  <c r="M13" i="37"/>
  <c r="W12" i="37"/>
  <c r="U12" i="37"/>
  <c r="S12" i="37"/>
  <c r="Q12" i="37"/>
  <c r="O12" i="37"/>
  <c r="M12" i="37"/>
  <c r="W11" i="37"/>
  <c r="U11" i="37"/>
  <c r="S11" i="37"/>
  <c r="Q11" i="37"/>
  <c r="O11" i="37"/>
  <c r="M11" i="37"/>
  <c r="W10" i="37"/>
  <c r="U10" i="37"/>
  <c r="S10" i="37"/>
  <c r="Q10" i="37"/>
  <c r="O10" i="37"/>
  <c r="M10" i="37"/>
  <c r="W9" i="37"/>
  <c r="U9" i="37"/>
  <c r="S9" i="37"/>
  <c r="Q9" i="37"/>
  <c r="O9" i="37"/>
  <c r="M9" i="37"/>
  <c r="W33" i="36"/>
  <c r="U33" i="36"/>
  <c r="S33" i="36"/>
  <c r="Q33" i="36"/>
  <c r="O33" i="36"/>
  <c r="M33" i="36"/>
  <c r="W31" i="36"/>
  <c r="U31" i="36"/>
  <c r="S31" i="36"/>
  <c r="Q31" i="36"/>
  <c r="O31" i="36"/>
  <c r="M31" i="36"/>
  <c r="W30" i="36"/>
  <c r="U30" i="36"/>
  <c r="S30" i="36"/>
  <c r="Q30" i="36"/>
  <c r="O30" i="36"/>
  <c r="M30" i="36"/>
  <c r="W29" i="36"/>
  <c r="U29" i="36"/>
  <c r="S29" i="36"/>
  <c r="Q29" i="36"/>
  <c r="O29" i="36"/>
  <c r="M29" i="36"/>
  <c r="W28" i="36"/>
  <c r="U28" i="36"/>
  <c r="S28" i="36"/>
  <c r="Q28" i="36"/>
  <c r="O28" i="36"/>
  <c r="M28" i="36"/>
  <c r="W27" i="36"/>
  <c r="U27" i="36"/>
  <c r="S27" i="36"/>
  <c r="Q27" i="36"/>
  <c r="O27" i="36"/>
  <c r="M27" i="36"/>
  <c r="W26" i="36"/>
  <c r="U26" i="36"/>
  <c r="S26" i="36"/>
  <c r="Q26" i="36"/>
  <c r="O26" i="36"/>
  <c r="M26" i="36"/>
  <c r="W25" i="36"/>
  <c r="U25" i="36"/>
  <c r="S25" i="36"/>
  <c r="Q25" i="36"/>
  <c r="O25" i="36"/>
  <c r="M25" i="36"/>
  <c r="W24" i="36"/>
  <c r="U24" i="36"/>
  <c r="S24" i="36"/>
  <c r="Q24" i="36"/>
  <c r="O24" i="36"/>
  <c r="M24" i="36"/>
  <c r="W23" i="36"/>
  <c r="U23" i="36"/>
  <c r="S23" i="36"/>
  <c r="Q23" i="36"/>
  <c r="O23" i="36"/>
  <c r="M23" i="36"/>
  <c r="W22" i="36"/>
  <c r="U22" i="36"/>
  <c r="S22" i="36"/>
  <c r="Q22" i="36"/>
  <c r="O22" i="36"/>
  <c r="M22" i="36"/>
  <c r="W21" i="36"/>
  <c r="U21" i="36"/>
  <c r="S21" i="36"/>
  <c r="Q21" i="36"/>
  <c r="O21" i="36"/>
  <c r="M21" i="36"/>
  <c r="W20" i="36"/>
  <c r="U20" i="36"/>
  <c r="S20" i="36"/>
  <c r="Q20" i="36"/>
  <c r="O20" i="36"/>
  <c r="M20" i="36"/>
  <c r="W19" i="36"/>
  <c r="U19" i="36"/>
  <c r="S19" i="36"/>
  <c r="Q19" i="36"/>
  <c r="O19" i="36"/>
  <c r="M19" i="36"/>
  <c r="W18" i="36"/>
  <c r="U18" i="36"/>
  <c r="S18" i="36"/>
  <c r="Q18" i="36"/>
  <c r="O18" i="36"/>
  <c r="M18" i="36"/>
  <c r="W17" i="36"/>
  <c r="U17" i="36"/>
  <c r="S17" i="36"/>
  <c r="Q17" i="36"/>
  <c r="O17" i="36"/>
  <c r="M17" i="36"/>
  <c r="W16" i="36"/>
  <c r="U16" i="36"/>
  <c r="S16" i="36"/>
  <c r="Q16" i="36"/>
  <c r="O16" i="36"/>
  <c r="M16" i="36"/>
  <c r="W15" i="36"/>
  <c r="U15" i="36"/>
  <c r="S15" i="36"/>
  <c r="Q15" i="36"/>
  <c r="O15" i="36"/>
  <c r="M15" i="36"/>
  <c r="W14" i="36"/>
  <c r="U14" i="36"/>
  <c r="S14" i="36"/>
  <c r="Q14" i="36"/>
  <c r="O14" i="36"/>
  <c r="M14" i="36"/>
  <c r="W13" i="36"/>
  <c r="U13" i="36"/>
  <c r="S13" i="36"/>
  <c r="Q13" i="36"/>
  <c r="O13" i="36"/>
  <c r="M13" i="36"/>
  <c r="W12" i="36"/>
  <c r="U12" i="36"/>
  <c r="S12" i="36"/>
  <c r="Q12" i="36"/>
  <c r="O12" i="36"/>
  <c r="M12" i="36"/>
  <c r="W11" i="36"/>
  <c r="U11" i="36"/>
  <c r="S11" i="36"/>
  <c r="Q11" i="36"/>
  <c r="O11" i="36"/>
  <c r="M11" i="36"/>
  <c r="W10" i="36"/>
  <c r="U10" i="36"/>
  <c r="S10" i="36"/>
  <c r="Q10" i="36"/>
  <c r="O10" i="36"/>
  <c r="M10" i="36"/>
  <c r="W9" i="36"/>
  <c r="U9" i="36"/>
  <c r="S9" i="36"/>
  <c r="Q9" i="36"/>
  <c r="O9" i="36"/>
  <c r="M9" i="36"/>
  <c r="W33" i="35"/>
  <c r="U33" i="35"/>
  <c r="S33" i="35"/>
  <c r="Q33" i="35"/>
  <c r="O33" i="35"/>
  <c r="M33" i="35"/>
  <c r="W31" i="35"/>
  <c r="U31" i="35"/>
  <c r="S31" i="35"/>
  <c r="Q31" i="35"/>
  <c r="O31" i="35"/>
  <c r="M31" i="35"/>
  <c r="W30" i="35"/>
  <c r="U30" i="35"/>
  <c r="S30" i="35"/>
  <c r="Q30" i="35"/>
  <c r="O30" i="35"/>
  <c r="M30" i="35"/>
  <c r="W29" i="35"/>
  <c r="U29" i="35"/>
  <c r="S29" i="35"/>
  <c r="Q29" i="35"/>
  <c r="O29" i="35"/>
  <c r="M29" i="35"/>
  <c r="W28" i="35"/>
  <c r="U28" i="35"/>
  <c r="S28" i="35"/>
  <c r="Q28" i="35"/>
  <c r="O28" i="35"/>
  <c r="M28" i="35"/>
  <c r="W27" i="35"/>
  <c r="U27" i="35"/>
  <c r="S27" i="35"/>
  <c r="Q27" i="35"/>
  <c r="O27" i="35"/>
  <c r="M27" i="35"/>
  <c r="W26" i="35"/>
  <c r="U26" i="35"/>
  <c r="S26" i="35"/>
  <c r="Q26" i="35"/>
  <c r="O26" i="35"/>
  <c r="M26" i="35"/>
  <c r="W25" i="35"/>
  <c r="U25" i="35"/>
  <c r="S25" i="35"/>
  <c r="Q25" i="35"/>
  <c r="O25" i="35"/>
  <c r="M25" i="35"/>
  <c r="W24" i="35"/>
  <c r="U24" i="35"/>
  <c r="S24" i="35"/>
  <c r="Q24" i="35"/>
  <c r="O24" i="35"/>
  <c r="M24" i="35"/>
  <c r="W23" i="35"/>
  <c r="U23" i="35"/>
  <c r="S23" i="35"/>
  <c r="Q23" i="35"/>
  <c r="O23" i="35"/>
  <c r="M23" i="35"/>
  <c r="W22" i="35"/>
  <c r="U22" i="35"/>
  <c r="S22" i="35"/>
  <c r="Q22" i="35"/>
  <c r="O22" i="35"/>
  <c r="M22" i="35"/>
  <c r="W21" i="35"/>
  <c r="U21" i="35"/>
  <c r="S21" i="35"/>
  <c r="Q21" i="35"/>
  <c r="O21" i="35"/>
  <c r="M21" i="35"/>
  <c r="W20" i="35"/>
  <c r="U20" i="35"/>
  <c r="S20" i="35"/>
  <c r="Q20" i="35"/>
  <c r="O20" i="35"/>
  <c r="M20" i="35"/>
  <c r="W19" i="35"/>
  <c r="U19" i="35"/>
  <c r="S19" i="35"/>
  <c r="Q19" i="35"/>
  <c r="O19" i="35"/>
  <c r="M19" i="35"/>
  <c r="W18" i="35"/>
  <c r="U18" i="35"/>
  <c r="S18" i="35"/>
  <c r="Q18" i="35"/>
  <c r="O18" i="35"/>
  <c r="M18" i="35"/>
  <c r="W17" i="35"/>
  <c r="U17" i="35"/>
  <c r="S17" i="35"/>
  <c r="Q17" i="35"/>
  <c r="O17" i="35"/>
  <c r="M17" i="35"/>
  <c r="W16" i="35"/>
  <c r="U16" i="35"/>
  <c r="S16" i="35"/>
  <c r="Q16" i="35"/>
  <c r="O16" i="35"/>
  <c r="M16" i="35"/>
  <c r="W15" i="35"/>
  <c r="U15" i="35"/>
  <c r="S15" i="35"/>
  <c r="Q15" i="35"/>
  <c r="O15" i="35"/>
  <c r="M15" i="35"/>
  <c r="W14" i="35"/>
  <c r="U14" i="35"/>
  <c r="S14" i="35"/>
  <c r="Q14" i="35"/>
  <c r="O14" i="35"/>
  <c r="M14" i="35"/>
  <c r="W13" i="35"/>
  <c r="U13" i="35"/>
  <c r="S13" i="35"/>
  <c r="Q13" i="35"/>
  <c r="O13" i="35"/>
  <c r="M13" i="35"/>
  <c r="W12" i="35"/>
  <c r="U12" i="35"/>
  <c r="S12" i="35"/>
  <c r="Q12" i="35"/>
  <c r="O12" i="35"/>
  <c r="M12" i="35"/>
  <c r="W11" i="35"/>
  <c r="U11" i="35"/>
  <c r="S11" i="35"/>
  <c r="Q11" i="35"/>
  <c r="O11" i="35"/>
  <c r="M11" i="35"/>
  <c r="W10" i="35"/>
  <c r="U10" i="35"/>
  <c r="S10" i="35"/>
  <c r="Q10" i="35"/>
  <c r="O10" i="35"/>
  <c r="M10" i="35"/>
  <c r="W9" i="35"/>
  <c r="U9" i="35"/>
  <c r="S9" i="35"/>
  <c r="Q9" i="35"/>
  <c r="O9" i="35"/>
  <c r="M9" i="35"/>
  <c r="W33" i="34"/>
  <c r="U33" i="34"/>
  <c r="S33" i="34"/>
  <c r="Q33" i="34"/>
  <c r="O33" i="34"/>
  <c r="M33" i="34"/>
  <c r="W31" i="34"/>
  <c r="U31" i="34"/>
  <c r="S31" i="34"/>
  <c r="Q31" i="34"/>
  <c r="O31" i="34"/>
  <c r="M31" i="34"/>
  <c r="W30" i="34"/>
  <c r="U30" i="34"/>
  <c r="S30" i="34"/>
  <c r="Q30" i="34"/>
  <c r="O30" i="34"/>
  <c r="M30" i="34"/>
  <c r="W29" i="34"/>
  <c r="U29" i="34"/>
  <c r="S29" i="34"/>
  <c r="Q29" i="34"/>
  <c r="O29" i="34"/>
  <c r="M29" i="34"/>
  <c r="W28" i="34"/>
  <c r="U28" i="34"/>
  <c r="S28" i="34"/>
  <c r="Q28" i="34"/>
  <c r="O28" i="34"/>
  <c r="M28" i="34"/>
  <c r="W27" i="34"/>
  <c r="U27" i="34"/>
  <c r="S27" i="34"/>
  <c r="Q27" i="34"/>
  <c r="O27" i="34"/>
  <c r="M27" i="34"/>
  <c r="W26" i="34"/>
  <c r="U26" i="34"/>
  <c r="S26" i="34"/>
  <c r="Q26" i="34"/>
  <c r="O26" i="34"/>
  <c r="M26" i="34"/>
  <c r="W25" i="34"/>
  <c r="U25" i="34"/>
  <c r="S25" i="34"/>
  <c r="Q25" i="34"/>
  <c r="O25" i="34"/>
  <c r="M25" i="34"/>
  <c r="W24" i="34"/>
  <c r="U24" i="34"/>
  <c r="S24" i="34"/>
  <c r="Q24" i="34"/>
  <c r="O24" i="34"/>
  <c r="M24" i="34"/>
  <c r="W23" i="34"/>
  <c r="U23" i="34"/>
  <c r="S23" i="34"/>
  <c r="Q23" i="34"/>
  <c r="O23" i="34"/>
  <c r="M23" i="34"/>
  <c r="W22" i="34"/>
  <c r="U22" i="34"/>
  <c r="S22" i="34"/>
  <c r="Q22" i="34"/>
  <c r="O22" i="34"/>
  <c r="M22" i="34"/>
  <c r="W21" i="34"/>
  <c r="U21" i="34"/>
  <c r="S21" i="34"/>
  <c r="Q21" i="34"/>
  <c r="O21" i="34"/>
  <c r="M21" i="34"/>
  <c r="W20" i="34"/>
  <c r="U20" i="34"/>
  <c r="S20" i="34"/>
  <c r="Q20" i="34"/>
  <c r="O20" i="34"/>
  <c r="M20" i="34"/>
  <c r="W19" i="34"/>
  <c r="U19" i="34"/>
  <c r="S19" i="34"/>
  <c r="Q19" i="34"/>
  <c r="O19" i="34"/>
  <c r="M19" i="34"/>
  <c r="W18" i="34"/>
  <c r="U18" i="34"/>
  <c r="S18" i="34"/>
  <c r="Q18" i="34"/>
  <c r="O18" i="34"/>
  <c r="M18" i="34"/>
  <c r="W17" i="34"/>
  <c r="U17" i="34"/>
  <c r="S17" i="34"/>
  <c r="Q17" i="34"/>
  <c r="O17" i="34"/>
  <c r="M17" i="34"/>
  <c r="W16" i="34"/>
  <c r="U16" i="34"/>
  <c r="S16" i="34"/>
  <c r="Q16" i="34"/>
  <c r="O16" i="34"/>
  <c r="M16" i="34"/>
  <c r="W15" i="34"/>
  <c r="U15" i="34"/>
  <c r="S15" i="34"/>
  <c r="Q15" i="34"/>
  <c r="O15" i="34"/>
  <c r="M15" i="34"/>
  <c r="W14" i="34"/>
  <c r="U14" i="34"/>
  <c r="S14" i="34"/>
  <c r="Q14" i="34"/>
  <c r="O14" i="34"/>
  <c r="M14" i="34"/>
  <c r="W13" i="34"/>
  <c r="U13" i="34"/>
  <c r="S13" i="34"/>
  <c r="Q13" i="34"/>
  <c r="O13" i="34"/>
  <c r="M13" i="34"/>
  <c r="W12" i="34"/>
  <c r="U12" i="34"/>
  <c r="S12" i="34"/>
  <c r="Q12" i="34"/>
  <c r="O12" i="34"/>
  <c r="M12" i="34"/>
  <c r="W11" i="34"/>
  <c r="U11" i="34"/>
  <c r="S11" i="34"/>
  <c r="Q11" i="34"/>
  <c r="O11" i="34"/>
  <c r="M11" i="34"/>
  <c r="W10" i="34"/>
  <c r="U10" i="34"/>
  <c r="S10" i="34"/>
  <c r="Q10" i="34"/>
  <c r="O10" i="34"/>
  <c r="M10" i="34"/>
  <c r="W9" i="34"/>
  <c r="U9" i="34"/>
  <c r="S9" i="34"/>
  <c r="Q9" i="34"/>
  <c r="O9" i="34"/>
  <c r="M9" i="34"/>
  <c r="W33" i="33"/>
  <c r="U33" i="33"/>
  <c r="S33" i="33"/>
  <c r="Q33" i="33"/>
  <c r="O33" i="33"/>
  <c r="M33" i="33"/>
  <c r="W31" i="33"/>
  <c r="U31" i="33"/>
  <c r="S31" i="33"/>
  <c r="Q31" i="33"/>
  <c r="O31" i="33"/>
  <c r="M31" i="33"/>
  <c r="W30" i="33"/>
  <c r="U30" i="33"/>
  <c r="S30" i="33"/>
  <c r="Q30" i="33"/>
  <c r="O30" i="33"/>
  <c r="M30" i="33"/>
  <c r="W29" i="33"/>
  <c r="U29" i="33"/>
  <c r="S29" i="33"/>
  <c r="Q29" i="33"/>
  <c r="O29" i="33"/>
  <c r="M29" i="33"/>
  <c r="W28" i="33"/>
  <c r="U28" i="33"/>
  <c r="S28" i="33"/>
  <c r="Q28" i="33"/>
  <c r="O28" i="33"/>
  <c r="M28" i="33"/>
  <c r="W27" i="33"/>
  <c r="U27" i="33"/>
  <c r="S27" i="33"/>
  <c r="Q27" i="33"/>
  <c r="O27" i="33"/>
  <c r="M27" i="33"/>
  <c r="W26" i="33"/>
  <c r="U26" i="33"/>
  <c r="S26" i="33"/>
  <c r="Q26" i="33"/>
  <c r="O26" i="33"/>
  <c r="M26" i="33"/>
  <c r="W25" i="33"/>
  <c r="U25" i="33"/>
  <c r="S25" i="33"/>
  <c r="Q25" i="33"/>
  <c r="O25" i="33"/>
  <c r="M25" i="33"/>
  <c r="W24" i="33"/>
  <c r="U24" i="33"/>
  <c r="S24" i="33"/>
  <c r="Q24" i="33"/>
  <c r="O24" i="33"/>
  <c r="M24" i="33"/>
  <c r="W23" i="33"/>
  <c r="U23" i="33"/>
  <c r="S23" i="33"/>
  <c r="Q23" i="33"/>
  <c r="O23" i="33"/>
  <c r="M23" i="33"/>
  <c r="W22" i="33"/>
  <c r="U22" i="33"/>
  <c r="S22" i="33"/>
  <c r="Q22" i="33"/>
  <c r="O22" i="33"/>
  <c r="M22" i="33"/>
  <c r="W21" i="33"/>
  <c r="U21" i="33"/>
  <c r="S21" i="33"/>
  <c r="Q21" i="33"/>
  <c r="O21" i="33"/>
  <c r="M21" i="33"/>
  <c r="W20" i="33"/>
  <c r="U20" i="33"/>
  <c r="S20" i="33"/>
  <c r="Q20" i="33"/>
  <c r="O20" i="33"/>
  <c r="M20" i="33"/>
  <c r="W19" i="33"/>
  <c r="U19" i="33"/>
  <c r="S19" i="33"/>
  <c r="Q19" i="33"/>
  <c r="O19" i="33"/>
  <c r="M19" i="33"/>
  <c r="W18" i="33"/>
  <c r="U18" i="33"/>
  <c r="S18" i="33"/>
  <c r="Q18" i="33"/>
  <c r="O18" i="33"/>
  <c r="M18" i="33"/>
  <c r="W17" i="33"/>
  <c r="U17" i="33"/>
  <c r="S17" i="33"/>
  <c r="Q17" i="33"/>
  <c r="O17" i="33"/>
  <c r="M17" i="33"/>
  <c r="W16" i="33"/>
  <c r="U16" i="33"/>
  <c r="S16" i="33"/>
  <c r="Q16" i="33"/>
  <c r="O16" i="33"/>
  <c r="M16" i="33"/>
  <c r="W15" i="33"/>
  <c r="U15" i="33"/>
  <c r="S15" i="33"/>
  <c r="Q15" i="33"/>
  <c r="O15" i="33"/>
  <c r="M15" i="33"/>
  <c r="W14" i="33"/>
  <c r="U14" i="33"/>
  <c r="S14" i="33"/>
  <c r="Q14" i="33"/>
  <c r="O14" i="33"/>
  <c r="M14" i="33"/>
  <c r="W13" i="33"/>
  <c r="U13" i="33"/>
  <c r="S13" i="33"/>
  <c r="Q13" i="33"/>
  <c r="O13" i="33"/>
  <c r="M13" i="33"/>
  <c r="W12" i="33"/>
  <c r="U12" i="33"/>
  <c r="S12" i="33"/>
  <c r="Q12" i="33"/>
  <c r="O12" i="33"/>
  <c r="M12" i="33"/>
  <c r="W11" i="33"/>
  <c r="U11" i="33"/>
  <c r="S11" i="33"/>
  <c r="Q11" i="33"/>
  <c r="O11" i="33"/>
  <c r="M11" i="33"/>
  <c r="W10" i="33"/>
  <c r="U10" i="33"/>
  <c r="S10" i="33"/>
  <c r="Q10" i="33"/>
  <c r="O10" i="33"/>
  <c r="M10" i="33"/>
  <c r="W9" i="33"/>
  <c r="U9" i="33"/>
  <c r="S9" i="33"/>
  <c r="Q9" i="33"/>
  <c r="O9" i="33"/>
  <c r="M9" i="33"/>
  <c r="W33" i="32"/>
  <c r="U33" i="32"/>
  <c r="S33" i="32"/>
  <c r="Q33" i="32"/>
  <c r="O33" i="32"/>
  <c r="M33" i="32"/>
  <c r="W31" i="32"/>
  <c r="U31" i="32"/>
  <c r="S31" i="32"/>
  <c r="Q31" i="32"/>
  <c r="O31" i="32"/>
  <c r="M31" i="32"/>
  <c r="W30" i="32"/>
  <c r="U30" i="32"/>
  <c r="S30" i="32"/>
  <c r="Q30" i="32"/>
  <c r="O30" i="32"/>
  <c r="M30" i="32"/>
  <c r="W29" i="32"/>
  <c r="U29" i="32"/>
  <c r="S29" i="32"/>
  <c r="Q29" i="32"/>
  <c r="O29" i="32"/>
  <c r="M29" i="32"/>
  <c r="W28" i="32"/>
  <c r="U28" i="32"/>
  <c r="S28" i="32"/>
  <c r="Q28" i="32"/>
  <c r="O28" i="32"/>
  <c r="M28" i="32"/>
  <c r="W27" i="32"/>
  <c r="U27" i="32"/>
  <c r="S27" i="32"/>
  <c r="Q27" i="32"/>
  <c r="O27" i="32"/>
  <c r="M27" i="32"/>
  <c r="W26" i="32"/>
  <c r="U26" i="32"/>
  <c r="S26" i="32"/>
  <c r="Q26" i="32"/>
  <c r="O26" i="32"/>
  <c r="M26" i="32"/>
  <c r="W25" i="32"/>
  <c r="U25" i="32"/>
  <c r="S25" i="32"/>
  <c r="Q25" i="32"/>
  <c r="O25" i="32"/>
  <c r="M25" i="32"/>
  <c r="W24" i="32"/>
  <c r="U24" i="32"/>
  <c r="S24" i="32"/>
  <c r="Q24" i="32"/>
  <c r="O24" i="32"/>
  <c r="M24" i="32"/>
  <c r="W23" i="32"/>
  <c r="U23" i="32"/>
  <c r="S23" i="32"/>
  <c r="Q23" i="32"/>
  <c r="O23" i="32"/>
  <c r="M23" i="32"/>
  <c r="W22" i="32"/>
  <c r="U22" i="32"/>
  <c r="S22" i="32"/>
  <c r="Q22" i="32"/>
  <c r="O22" i="32"/>
  <c r="M22" i="32"/>
  <c r="W21" i="32"/>
  <c r="U21" i="32"/>
  <c r="S21" i="32"/>
  <c r="Q21" i="32"/>
  <c r="O21" i="32"/>
  <c r="M21" i="32"/>
  <c r="W20" i="32"/>
  <c r="U20" i="32"/>
  <c r="S20" i="32"/>
  <c r="Q20" i="32"/>
  <c r="O20" i="32"/>
  <c r="M20" i="32"/>
  <c r="W19" i="32"/>
  <c r="U19" i="32"/>
  <c r="S19" i="32"/>
  <c r="Q19" i="32"/>
  <c r="O19" i="32"/>
  <c r="M19" i="32"/>
  <c r="W18" i="32"/>
  <c r="U18" i="32"/>
  <c r="S18" i="32"/>
  <c r="Q18" i="32"/>
  <c r="O18" i="32"/>
  <c r="M18" i="32"/>
  <c r="W17" i="32"/>
  <c r="U17" i="32"/>
  <c r="S17" i="32"/>
  <c r="Q17" i="32"/>
  <c r="O17" i="32"/>
  <c r="M17" i="32"/>
  <c r="W16" i="32"/>
  <c r="U16" i="32"/>
  <c r="S16" i="32"/>
  <c r="Q16" i="32"/>
  <c r="O16" i="32"/>
  <c r="M16" i="32"/>
  <c r="W15" i="32"/>
  <c r="U15" i="32"/>
  <c r="S15" i="32"/>
  <c r="Q15" i="32"/>
  <c r="O15" i="32"/>
  <c r="M15" i="32"/>
  <c r="W14" i="32"/>
  <c r="U14" i="32"/>
  <c r="S14" i="32"/>
  <c r="Q14" i="32"/>
  <c r="O14" i="32"/>
  <c r="M14" i="32"/>
  <c r="W13" i="32"/>
  <c r="U13" i="32"/>
  <c r="S13" i="32"/>
  <c r="Q13" i="32"/>
  <c r="O13" i="32"/>
  <c r="M13" i="32"/>
  <c r="W12" i="32"/>
  <c r="U12" i="32"/>
  <c r="S12" i="32"/>
  <c r="Q12" i="32"/>
  <c r="O12" i="32"/>
  <c r="M12" i="32"/>
  <c r="W11" i="32"/>
  <c r="U11" i="32"/>
  <c r="S11" i="32"/>
  <c r="Q11" i="32"/>
  <c r="O11" i="32"/>
  <c r="M11" i="32"/>
  <c r="W10" i="32"/>
  <c r="U10" i="32"/>
  <c r="S10" i="32"/>
  <c r="Q10" i="32"/>
  <c r="O10" i="32"/>
  <c r="M10" i="32"/>
  <c r="W9" i="32"/>
  <c r="U9" i="32"/>
  <c r="S9" i="32"/>
  <c r="Q9" i="32"/>
  <c r="O9" i="32"/>
  <c r="M9" i="32"/>
  <c r="W33" i="31"/>
  <c r="U33" i="31"/>
  <c r="S33" i="31"/>
  <c r="Q33" i="31"/>
  <c r="O33" i="31"/>
  <c r="M33" i="31"/>
  <c r="W31" i="31"/>
  <c r="U31" i="31"/>
  <c r="S31" i="31"/>
  <c r="Q31" i="31"/>
  <c r="O31" i="31"/>
  <c r="M31" i="31"/>
  <c r="W30" i="31"/>
  <c r="U30" i="31"/>
  <c r="S30" i="31"/>
  <c r="Q30" i="31"/>
  <c r="O30" i="31"/>
  <c r="M30" i="31"/>
  <c r="W29" i="31"/>
  <c r="U29" i="31"/>
  <c r="S29" i="31"/>
  <c r="Q29" i="31"/>
  <c r="O29" i="31"/>
  <c r="M29" i="31"/>
  <c r="W28" i="31"/>
  <c r="U28" i="31"/>
  <c r="S28" i="31"/>
  <c r="Q28" i="31"/>
  <c r="O28" i="31"/>
  <c r="M28" i="31"/>
  <c r="W27" i="31"/>
  <c r="U27" i="31"/>
  <c r="S27" i="31"/>
  <c r="Q27" i="31"/>
  <c r="O27" i="31"/>
  <c r="M27" i="31"/>
  <c r="W26" i="31"/>
  <c r="U26" i="31"/>
  <c r="S26" i="31"/>
  <c r="Q26" i="31"/>
  <c r="O26" i="31"/>
  <c r="M26" i="31"/>
  <c r="W25" i="31"/>
  <c r="U25" i="31"/>
  <c r="S25" i="31"/>
  <c r="Q25" i="31"/>
  <c r="O25" i="31"/>
  <c r="M25" i="31"/>
  <c r="W24" i="31"/>
  <c r="U24" i="31"/>
  <c r="S24" i="31"/>
  <c r="Q24" i="31"/>
  <c r="O24" i="31"/>
  <c r="M24" i="31"/>
  <c r="W23" i="31"/>
  <c r="U23" i="31"/>
  <c r="S23" i="31"/>
  <c r="Q23" i="31"/>
  <c r="O23" i="31"/>
  <c r="M23" i="31"/>
  <c r="W22" i="31"/>
  <c r="U22" i="31"/>
  <c r="S22" i="31"/>
  <c r="Q22" i="31"/>
  <c r="O22" i="31"/>
  <c r="M22" i="31"/>
  <c r="W21" i="31"/>
  <c r="U21" i="31"/>
  <c r="S21" i="31"/>
  <c r="Q21" i="31"/>
  <c r="O21" i="31"/>
  <c r="M21" i="31"/>
  <c r="W20" i="31"/>
  <c r="U20" i="31"/>
  <c r="S20" i="31"/>
  <c r="Q20" i="31"/>
  <c r="O20" i="31"/>
  <c r="M20" i="31"/>
  <c r="W19" i="31"/>
  <c r="U19" i="31"/>
  <c r="S19" i="31"/>
  <c r="Q19" i="31"/>
  <c r="O19" i="31"/>
  <c r="M19" i="31"/>
  <c r="W18" i="31"/>
  <c r="U18" i="31"/>
  <c r="S18" i="31"/>
  <c r="Q18" i="31"/>
  <c r="O18" i="31"/>
  <c r="M18" i="31"/>
  <c r="W17" i="31"/>
  <c r="U17" i="31"/>
  <c r="S17" i="31"/>
  <c r="Q17" i="31"/>
  <c r="O17" i="31"/>
  <c r="M17" i="31"/>
  <c r="W16" i="31"/>
  <c r="U16" i="31"/>
  <c r="S16" i="31"/>
  <c r="Q16" i="31"/>
  <c r="O16" i="31"/>
  <c r="M16" i="31"/>
  <c r="W15" i="31"/>
  <c r="U15" i="31"/>
  <c r="S15" i="31"/>
  <c r="Q15" i="31"/>
  <c r="O15" i="31"/>
  <c r="M15" i="31"/>
  <c r="W14" i="31"/>
  <c r="U14" i="31"/>
  <c r="S14" i="31"/>
  <c r="Q14" i="31"/>
  <c r="O14" i="31"/>
  <c r="M14" i="31"/>
  <c r="W13" i="31"/>
  <c r="U13" i="31"/>
  <c r="S13" i="31"/>
  <c r="Q13" i="31"/>
  <c r="O13" i="31"/>
  <c r="M13" i="31"/>
  <c r="W12" i="31"/>
  <c r="U12" i="31"/>
  <c r="S12" i="31"/>
  <c r="Q12" i="31"/>
  <c r="O12" i="31"/>
  <c r="M12" i="31"/>
  <c r="W11" i="31"/>
  <c r="U11" i="31"/>
  <c r="S11" i="31"/>
  <c r="Q11" i="31"/>
  <c r="O11" i="31"/>
  <c r="M11" i="31"/>
  <c r="W10" i="31"/>
  <c r="U10" i="31"/>
  <c r="S10" i="31"/>
  <c r="Q10" i="31"/>
  <c r="O10" i="31"/>
  <c r="M10" i="31"/>
  <c r="W9" i="31"/>
  <c r="U9" i="31"/>
  <c r="S9" i="31"/>
  <c r="Q9" i="31"/>
  <c r="O9" i="31"/>
  <c r="M9" i="31"/>
  <c r="W33" i="30"/>
  <c r="U33" i="30"/>
  <c r="S33" i="30"/>
  <c r="Q33" i="30"/>
  <c r="O33" i="30"/>
  <c r="M33" i="30"/>
  <c r="W31" i="30"/>
  <c r="U31" i="30"/>
  <c r="S31" i="30"/>
  <c r="Q31" i="30"/>
  <c r="O31" i="30"/>
  <c r="M31" i="30"/>
  <c r="W30" i="30"/>
  <c r="U30" i="30"/>
  <c r="S30" i="30"/>
  <c r="Q30" i="30"/>
  <c r="O30" i="30"/>
  <c r="M30" i="30"/>
  <c r="W29" i="30"/>
  <c r="U29" i="30"/>
  <c r="S29" i="30"/>
  <c r="Q29" i="30"/>
  <c r="O29" i="30"/>
  <c r="M29" i="30"/>
  <c r="W28" i="30"/>
  <c r="U28" i="30"/>
  <c r="S28" i="30"/>
  <c r="Q28" i="30"/>
  <c r="O28" i="30"/>
  <c r="M28" i="30"/>
  <c r="W27" i="30"/>
  <c r="U27" i="30"/>
  <c r="S27" i="30"/>
  <c r="Q27" i="30"/>
  <c r="O27" i="30"/>
  <c r="M27" i="30"/>
  <c r="W26" i="30"/>
  <c r="U26" i="30"/>
  <c r="S26" i="30"/>
  <c r="Q26" i="30"/>
  <c r="O26" i="30"/>
  <c r="M26" i="30"/>
  <c r="W25" i="30"/>
  <c r="U25" i="30"/>
  <c r="S25" i="30"/>
  <c r="Q25" i="30"/>
  <c r="O25" i="30"/>
  <c r="M25" i="30"/>
  <c r="W24" i="30"/>
  <c r="U24" i="30"/>
  <c r="S24" i="30"/>
  <c r="Q24" i="30"/>
  <c r="O24" i="30"/>
  <c r="M24" i="30"/>
  <c r="W23" i="30"/>
  <c r="U23" i="30"/>
  <c r="S23" i="30"/>
  <c r="Q23" i="30"/>
  <c r="O23" i="30"/>
  <c r="M23" i="30"/>
  <c r="W22" i="30"/>
  <c r="U22" i="30"/>
  <c r="S22" i="30"/>
  <c r="Q22" i="30"/>
  <c r="O22" i="30"/>
  <c r="M22" i="30"/>
  <c r="W21" i="30"/>
  <c r="U21" i="30"/>
  <c r="S21" i="30"/>
  <c r="Q21" i="30"/>
  <c r="O21" i="30"/>
  <c r="M21" i="30"/>
  <c r="W20" i="30"/>
  <c r="U20" i="30"/>
  <c r="S20" i="30"/>
  <c r="Q20" i="30"/>
  <c r="O20" i="30"/>
  <c r="M20" i="30"/>
  <c r="W19" i="30"/>
  <c r="U19" i="30"/>
  <c r="S19" i="30"/>
  <c r="Q19" i="30"/>
  <c r="O19" i="30"/>
  <c r="M19" i="30"/>
  <c r="W18" i="30"/>
  <c r="U18" i="30"/>
  <c r="S18" i="30"/>
  <c r="Q18" i="30"/>
  <c r="O18" i="30"/>
  <c r="M18" i="30"/>
  <c r="W17" i="30"/>
  <c r="U17" i="30"/>
  <c r="S17" i="30"/>
  <c r="Q17" i="30"/>
  <c r="O17" i="30"/>
  <c r="M17" i="30"/>
  <c r="W16" i="30"/>
  <c r="U16" i="30"/>
  <c r="S16" i="30"/>
  <c r="Q16" i="30"/>
  <c r="O16" i="30"/>
  <c r="M16" i="30"/>
  <c r="W15" i="30"/>
  <c r="U15" i="30"/>
  <c r="S15" i="30"/>
  <c r="Q15" i="30"/>
  <c r="O15" i="30"/>
  <c r="M15" i="30"/>
  <c r="W14" i="30"/>
  <c r="U14" i="30"/>
  <c r="S14" i="30"/>
  <c r="Q14" i="30"/>
  <c r="O14" i="30"/>
  <c r="M14" i="30"/>
  <c r="W13" i="30"/>
  <c r="U13" i="30"/>
  <c r="S13" i="30"/>
  <c r="Q13" i="30"/>
  <c r="O13" i="30"/>
  <c r="M13" i="30"/>
  <c r="W12" i="30"/>
  <c r="U12" i="30"/>
  <c r="S12" i="30"/>
  <c r="Q12" i="30"/>
  <c r="O12" i="30"/>
  <c r="M12" i="30"/>
  <c r="W11" i="30"/>
  <c r="U11" i="30"/>
  <c r="S11" i="30"/>
  <c r="Q11" i="30"/>
  <c r="O11" i="30"/>
  <c r="M11" i="30"/>
  <c r="W10" i="30"/>
  <c r="U10" i="30"/>
  <c r="S10" i="30"/>
  <c r="Q10" i="30"/>
  <c r="O10" i="30"/>
  <c r="M10" i="30"/>
  <c r="W9" i="30"/>
  <c r="U9" i="30"/>
  <c r="S9" i="30"/>
  <c r="Q9" i="30"/>
  <c r="O9" i="30"/>
  <c r="M9" i="30"/>
  <c r="W33" i="29"/>
  <c r="U33" i="29"/>
  <c r="S33" i="29"/>
  <c r="Q33" i="29"/>
  <c r="O33" i="29"/>
  <c r="M33" i="29"/>
  <c r="W31" i="29"/>
  <c r="U31" i="29"/>
  <c r="S31" i="29"/>
  <c r="Q31" i="29"/>
  <c r="O31" i="29"/>
  <c r="M31" i="29"/>
  <c r="W30" i="29"/>
  <c r="U30" i="29"/>
  <c r="S30" i="29"/>
  <c r="Q30" i="29"/>
  <c r="O30" i="29"/>
  <c r="M30" i="29"/>
  <c r="W29" i="29"/>
  <c r="U29" i="29"/>
  <c r="S29" i="29"/>
  <c r="Q29" i="29"/>
  <c r="O29" i="29"/>
  <c r="M29" i="29"/>
  <c r="W28" i="29"/>
  <c r="U28" i="29"/>
  <c r="S28" i="29"/>
  <c r="Q28" i="29"/>
  <c r="O28" i="29"/>
  <c r="M28" i="29"/>
  <c r="W27" i="29"/>
  <c r="U27" i="29"/>
  <c r="S27" i="29"/>
  <c r="Q27" i="29"/>
  <c r="O27" i="29"/>
  <c r="M27" i="29"/>
  <c r="W26" i="29"/>
  <c r="U26" i="29"/>
  <c r="S26" i="29"/>
  <c r="Q26" i="29"/>
  <c r="O26" i="29"/>
  <c r="M26" i="29"/>
  <c r="W25" i="29"/>
  <c r="U25" i="29"/>
  <c r="S25" i="29"/>
  <c r="Q25" i="29"/>
  <c r="O25" i="29"/>
  <c r="M25" i="29"/>
  <c r="W24" i="29"/>
  <c r="U24" i="29"/>
  <c r="S24" i="29"/>
  <c r="Q24" i="29"/>
  <c r="O24" i="29"/>
  <c r="M24" i="29"/>
  <c r="W23" i="29"/>
  <c r="U23" i="29"/>
  <c r="S23" i="29"/>
  <c r="Q23" i="29"/>
  <c r="O23" i="29"/>
  <c r="M23" i="29"/>
  <c r="W22" i="29"/>
  <c r="U22" i="29"/>
  <c r="S22" i="29"/>
  <c r="Q22" i="29"/>
  <c r="O22" i="29"/>
  <c r="M22" i="29"/>
  <c r="W21" i="29"/>
  <c r="U21" i="29"/>
  <c r="S21" i="29"/>
  <c r="Q21" i="29"/>
  <c r="O21" i="29"/>
  <c r="M21" i="29"/>
  <c r="W20" i="29"/>
  <c r="U20" i="29"/>
  <c r="S20" i="29"/>
  <c r="Q20" i="29"/>
  <c r="O20" i="29"/>
  <c r="M20" i="29"/>
  <c r="W19" i="29"/>
  <c r="U19" i="29"/>
  <c r="S19" i="29"/>
  <c r="Q19" i="29"/>
  <c r="O19" i="29"/>
  <c r="M19" i="29"/>
  <c r="W18" i="29"/>
  <c r="U18" i="29"/>
  <c r="S18" i="29"/>
  <c r="Q18" i="29"/>
  <c r="O18" i="29"/>
  <c r="M18" i="29"/>
  <c r="W17" i="29"/>
  <c r="U17" i="29"/>
  <c r="S17" i="29"/>
  <c r="Q17" i="29"/>
  <c r="O17" i="29"/>
  <c r="M17" i="29"/>
  <c r="W16" i="29"/>
  <c r="U16" i="29"/>
  <c r="S16" i="29"/>
  <c r="Q16" i="29"/>
  <c r="O16" i="29"/>
  <c r="M16" i="29"/>
  <c r="W15" i="29"/>
  <c r="U15" i="29"/>
  <c r="S15" i="29"/>
  <c r="Q15" i="29"/>
  <c r="O15" i="29"/>
  <c r="M15" i="29"/>
  <c r="W14" i="29"/>
  <c r="U14" i="29"/>
  <c r="S14" i="29"/>
  <c r="Q14" i="29"/>
  <c r="O14" i="29"/>
  <c r="M14" i="29"/>
  <c r="W13" i="29"/>
  <c r="U13" i="29"/>
  <c r="S13" i="29"/>
  <c r="Q13" i="29"/>
  <c r="O13" i="29"/>
  <c r="M13" i="29"/>
  <c r="W12" i="29"/>
  <c r="U12" i="29"/>
  <c r="S12" i="29"/>
  <c r="Q12" i="29"/>
  <c r="O12" i="29"/>
  <c r="M12" i="29"/>
  <c r="W11" i="29"/>
  <c r="U11" i="29"/>
  <c r="S11" i="29"/>
  <c r="Q11" i="29"/>
  <c r="O11" i="29"/>
  <c r="M11" i="29"/>
  <c r="W10" i="29"/>
  <c r="U10" i="29"/>
  <c r="S10" i="29"/>
  <c r="Q10" i="29"/>
  <c r="O10" i="29"/>
  <c r="M10" i="29"/>
  <c r="W9" i="29"/>
  <c r="U9" i="29"/>
  <c r="S9" i="29"/>
  <c r="Q9" i="29"/>
  <c r="O9" i="29"/>
  <c r="M9" i="29"/>
  <c r="W33" i="28"/>
  <c r="U33" i="28"/>
  <c r="S33" i="28"/>
  <c r="Q33" i="28"/>
  <c r="O33" i="28"/>
  <c r="M33" i="28"/>
  <c r="W31" i="28"/>
  <c r="U31" i="28"/>
  <c r="S31" i="28"/>
  <c r="Q31" i="28"/>
  <c r="O31" i="28"/>
  <c r="M31" i="28"/>
  <c r="W30" i="28"/>
  <c r="U30" i="28"/>
  <c r="S30" i="28"/>
  <c r="Q30" i="28"/>
  <c r="O30" i="28"/>
  <c r="M30" i="28"/>
  <c r="W29" i="28"/>
  <c r="U29" i="28"/>
  <c r="S29" i="28"/>
  <c r="Q29" i="28"/>
  <c r="O29" i="28"/>
  <c r="M29" i="28"/>
  <c r="W28" i="28"/>
  <c r="U28" i="28"/>
  <c r="S28" i="28"/>
  <c r="Q28" i="28"/>
  <c r="O28" i="28"/>
  <c r="M28" i="28"/>
  <c r="W27" i="28"/>
  <c r="U27" i="28"/>
  <c r="S27" i="28"/>
  <c r="Q27" i="28"/>
  <c r="O27" i="28"/>
  <c r="M27" i="28"/>
  <c r="W26" i="28"/>
  <c r="U26" i="28"/>
  <c r="S26" i="28"/>
  <c r="Q26" i="28"/>
  <c r="O26" i="28"/>
  <c r="M26" i="28"/>
  <c r="W25" i="28"/>
  <c r="U25" i="28"/>
  <c r="S25" i="28"/>
  <c r="Q25" i="28"/>
  <c r="O25" i="28"/>
  <c r="M25" i="28"/>
  <c r="W24" i="28"/>
  <c r="U24" i="28"/>
  <c r="S24" i="28"/>
  <c r="Q24" i="28"/>
  <c r="O24" i="28"/>
  <c r="M24" i="28"/>
  <c r="W23" i="28"/>
  <c r="U23" i="28"/>
  <c r="S23" i="28"/>
  <c r="Q23" i="28"/>
  <c r="O23" i="28"/>
  <c r="M23" i="28"/>
  <c r="W22" i="28"/>
  <c r="U22" i="28"/>
  <c r="S22" i="28"/>
  <c r="Q22" i="28"/>
  <c r="O22" i="28"/>
  <c r="M22" i="28"/>
  <c r="W21" i="28"/>
  <c r="U21" i="28"/>
  <c r="S21" i="28"/>
  <c r="Q21" i="28"/>
  <c r="O21" i="28"/>
  <c r="M21" i="28"/>
  <c r="W20" i="28"/>
  <c r="U20" i="28"/>
  <c r="S20" i="28"/>
  <c r="Q20" i="28"/>
  <c r="O20" i="28"/>
  <c r="M20" i="28"/>
  <c r="W19" i="28"/>
  <c r="U19" i="28"/>
  <c r="S19" i="28"/>
  <c r="Q19" i="28"/>
  <c r="O19" i="28"/>
  <c r="M19" i="28"/>
  <c r="W18" i="28"/>
  <c r="U18" i="28"/>
  <c r="S18" i="28"/>
  <c r="Q18" i="28"/>
  <c r="O18" i="28"/>
  <c r="M18" i="28"/>
  <c r="W17" i="28"/>
  <c r="U17" i="28"/>
  <c r="S17" i="28"/>
  <c r="Q17" i="28"/>
  <c r="O17" i="28"/>
  <c r="M17" i="28"/>
  <c r="W16" i="28"/>
  <c r="U16" i="28"/>
  <c r="S16" i="28"/>
  <c r="Q16" i="28"/>
  <c r="O16" i="28"/>
  <c r="M16" i="28"/>
  <c r="W15" i="28"/>
  <c r="U15" i="28"/>
  <c r="S15" i="28"/>
  <c r="Q15" i="28"/>
  <c r="O15" i="28"/>
  <c r="M15" i="28"/>
  <c r="W14" i="28"/>
  <c r="U14" i="28"/>
  <c r="S14" i="28"/>
  <c r="Q14" i="28"/>
  <c r="O14" i="28"/>
  <c r="M14" i="28"/>
  <c r="W13" i="28"/>
  <c r="U13" i="28"/>
  <c r="S13" i="28"/>
  <c r="Q13" i="28"/>
  <c r="O13" i="28"/>
  <c r="M13" i="28"/>
  <c r="W12" i="28"/>
  <c r="U12" i="28"/>
  <c r="S12" i="28"/>
  <c r="Q12" i="28"/>
  <c r="O12" i="28"/>
  <c r="M12" i="28"/>
  <c r="W11" i="28"/>
  <c r="U11" i="28"/>
  <c r="S11" i="28"/>
  <c r="Q11" i="28"/>
  <c r="O11" i="28"/>
  <c r="M11" i="28"/>
  <c r="W10" i="28"/>
  <c r="U10" i="28"/>
  <c r="S10" i="28"/>
  <c r="Q10" i="28"/>
  <c r="O10" i="28"/>
  <c r="M10" i="28"/>
  <c r="W9" i="28"/>
  <c r="U9" i="28"/>
  <c r="S9" i="28"/>
  <c r="Q9" i="28"/>
  <c r="O9" i="28"/>
  <c r="M9" i="28"/>
  <c r="W33" i="27"/>
  <c r="U33" i="27"/>
  <c r="S33" i="27"/>
  <c r="Q33" i="27"/>
  <c r="O33" i="27"/>
  <c r="M33" i="27"/>
  <c r="W31" i="27"/>
  <c r="U31" i="27"/>
  <c r="S31" i="27"/>
  <c r="Q31" i="27"/>
  <c r="O31" i="27"/>
  <c r="M31" i="27"/>
  <c r="W30" i="27"/>
  <c r="U30" i="27"/>
  <c r="S30" i="27"/>
  <c r="Q30" i="27"/>
  <c r="O30" i="27"/>
  <c r="M30" i="27"/>
  <c r="W29" i="27"/>
  <c r="U29" i="27"/>
  <c r="S29" i="27"/>
  <c r="Q29" i="27"/>
  <c r="O29" i="27"/>
  <c r="M29" i="27"/>
  <c r="W28" i="27"/>
  <c r="U28" i="27"/>
  <c r="S28" i="27"/>
  <c r="Q28" i="27"/>
  <c r="O28" i="27"/>
  <c r="M28" i="27"/>
  <c r="W27" i="27"/>
  <c r="U27" i="27"/>
  <c r="S27" i="27"/>
  <c r="Q27" i="27"/>
  <c r="O27" i="27"/>
  <c r="M27" i="27"/>
  <c r="W26" i="27"/>
  <c r="U26" i="27"/>
  <c r="S26" i="27"/>
  <c r="Q26" i="27"/>
  <c r="O26" i="27"/>
  <c r="M26" i="27"/>
  <c r="W25" i="27"/>
  <c r="U25" i="27"/>
  <c r="S25" i="27"/>
  <c r="Q25" i="27"/>
  <c r="O25" i="27"/>
  <c r="M25" i="27"/>
  <c r="W24" i="27"/>
  <c r="U24" i="27"/>
  <c r="S24" i="27"/>
  <c r="Q24" i="27"/>
  <c r="O24" i="27"/>
  <c r="M24" i="27"/>
  <c r="W23" i="27"/>
  <c r="U23" i="27"/>
  <c r="S23" i="27"/>
  <c r="Q23" i="27"/>
  <c r="O23" i="27"/>
  <c r="M23" i="27"/>
  <c r="W22" i="27"/>
  <c r="U22" i="27"/>
  <c r="S22" i="27"/>
  <c r="Q22" i="27"/>
  <c r="O22" i="27"/>
  <c r="M22" i="27"/>
  <c r="W21" i="27"/>
  <c r="U21" i="27"/>
  <c r="S21" i="27"/>
  <c r="Q21" i="27"/>
  <c r="O21" i="27"/>
  <c r="M21" i="27"/>
  <c r="W20" i="27"/>
  <c r="U20" i="27"/>
  <c r="S20" i="27"/>
  <c r="Q20" i="27"/>
  <c r="O20" i="27"/>
  <c r="M20" i="27"/>
  <c r="W19" i="27"/>
  <c r="U19" i="27"/>
  <c r="S19" i="27"/>
  <c r="Q19" i="27"/>
  <c r="O19" i="27"/>
  <c r="M19" i="27"/>
  <c r="W18" i="27"/>
  <c r="U18" i="27"/>
  <c r="S18" i="27"/>
  <c r="Q18" i="27"/>
  <c r="O18" i="27"/>
  <c r="M18" i="27"/>
  <c r="W17" i="27"/>
  <c r="U17" i="27"/>
  <c r="S17" i="27"/>
  <c r="Q17" i="27"/>
  <c r="O17" i="27"/>
  <c r="M17" i="27"/>
  <c r="W16" i="27"/>
  <c r="U16" i="27"/>
  <c r="S16" i="27"/>
  <c r="Q16" i="27"/>
  <c r="O16" i="27"/>
  <c r="M16" i="27"/>
  <c r="W15" i="27"/>
  <c r="U15" i="27"/>
  <c r="S15" i="27"/>
  <c r="Q15" i="27"/>
  <c r="O15" i="27"/>
  <c r="M15" i="27"/>
  <c r="W14" i="27"/>
  <c r="U14" i="27"/>
  <c r="S14" i="27"/>
  <c r="Q14" i="27"/>
  <c r="O14" i="27"/>
  <c r="M14" i="27"/>
  <c r="W13" i="27"/>
  <c r="U13" i="27"/>
  <c r="S13" i="27"/>
  <c r="Q13" i="27"/>
  <c r="O13" i="27"/>
  <c r="M13" i="27"/>
  <c r="W12" i="27"/>
  <c r="U12" i="27"/>
  <c r="S12" i="27"/>
  <c r="Q12" i="27"/>
  <c r="O12" i="27"/>
  <c r="M12" i="27"/>
  <c r="W11" i="27"/>
  <c r="U11" i="27"/>
  <c r="S11" i="27"/>
  <c r="Q11" i="27"/>
  <c r="O11" i="27"/>
  <c r="M11" i="27"/>
  <c r="W10" i="27"/>
  <c r="U10" i="27"/>
  <c r="S10" i="27"/>
  <c r="Q10" i="27"/>
  <c r="O10" i="27"/>
  <c r="M10" i="27"/>
  <c r="W9" i="27"/>
  <c r="U9" i="27"/>
  <c r="S9" i="27"/>
  <c r="Q9" i="27"/>
  <c r="O9" i="27"/>
  <c r="M9" i="27"/>
  <c r="W33" i="26"/>
  <c r="U33" i="26"/>
  <c r="S33" i="26"/>
  <c r="Q33" i="26"/>
  <c r="O33" i="26"/>
  <c r="M33" i="26"/>
  <c r="W31" i="26"/>
  <c r="U31" i="26"/>
  <c r="S31" i="26"/>
  <c r="Q31" i="26"/>
  <c r="O31" i="26"/>
  <c r="M31" i="26"/>
  <c r="W30" i="26"/>
  <c r="U30" i="26"/>
  <c r="S30" i="26"/>
  <c r="Q30" i="26"/>
  <c r="O30" i="26"/>
  <c r="M30" i="26"/>
  <c r="W29" i="26"/>
  <c r="U29" i="26"/>
  <c r="S29" i="26"/>
  <c r="Q29" i="26"/>
  <c r="O29" i="26"/>
  <c r="M29" i="26"/>
  <c r="W28" i="26"/>
  <c r="U28" i="26"/>
  <c r="S28" i="26"/>
  <c r="Q28" i="26"/>
  <c r="O28" i="26"/>
  <c r="M28" i="26"/>
  <c r="W27" i="26"/>
  <c r="U27" i="26"/>
  <c r="S27" i="26"/>
  <c r="Q27" i="26"/>
  <c r="O27" i="26"/>
  <c r="M27" i="26"/>
  <c r="W26" i="26"/>
  <c r="U26" i="26"/>
  <c r="S26" i="26"/>
  <c r="Q26" i="26"/>
  <c r="O26" i="26"/>
  <c r="M26" i="26"/>
  <c r="W25" i="26"/>
  <c r="U25" i="26"/>
  <c r="S25" i="26"/>
  <c r="Q25" i="26"/>
  <c r="O25" i="26"/>
  <c r="M25" i="26"/>
  <c r="W24" i="26"/>
  <c r="U24" i="26"/>
  <c r="S24" i="26"/>
  <c r="Q24" i="26"/>
  <c r="O24" i="26"/>
  <c r="M24" i="26"/>
  <c r="W23" i="26"/>
  <c r="U23" i="26"/>
  <c r="S23" i="26"/>
  <c r="Q23" i="26"/>
  <c r="O23" i="26"/>
  <c r="M23" i="26"/>
  <c r="W22" i="26"/>
  <c r="U22" i="26"/>
  <c r="S22" i="26"/>
  <c r="Q22" i="26"/>
  <c r="O22" i="26"/>
  <c r="M22" i="26"/>
  <c r="W21" i="26"/>
  <c r="U21" i="26"/>
  <c r="S21" i="26"/>
  <c r="Q21" i="26"/>
  <c r="O21" i="26"/>
  <c r="M21" i="26"/>
  <c r="W20" i="26"/>
  <c r="U20" i="26"/>
  <c r="S20" i="26"/>
  <c r="Q20" i="26"/>
  <c r="O20" i="26"/>
  <c r="M20" i="26"/>
  <c r="W19" i="26"/>
  <c r="U19" i="26"/>
  <c r="S19" i="26"/>
  <c r="Q19" i="26"/>
  <c r="O19" i="26"/>
  <c r="M19" i="26"/>
  <c r="W18" i="26"/>
  <c r="U18" i="26"/>
  <c r="S18" i="26"/>
  <c r="Q18" i="26"/>
  <c r="O18" i="26"/>
  <c r="M18" i="26"/>
  <c r="W17" i="26"/>
  <c r="U17" i="26"/>
  <c r="S17" i="26"/>
  <c r="Q17" i="26"/>
  <c r="O17" i="26"/>
  <c r="M17" i="26"/>
  <c r="W16" i="26"/>
  <c r="U16" i="26"/>
  <c r="S16" i="26"/>
  <c r="Q16" i="26"/>
  <c r="O16" i="26"/>
  <c r="M16" i="26"/>
  <c r="W15" i="26"/>
  <c r="U15" i="26"/>
  <c r="S15" i="26"/>
  <c r="Q15" i="26"/>
  <c r="O15" i="26"/>
  <c r="M15" i="26"/>
  <c r="W14" i="26"/>
  <c r="U14" i="26"/>
  <c r="S14" i="26"/>
  <c r="Q14" i="26"/>
  <c r="O14" i="26"/>
  <c r="M14" i="26"/>
  <c r="W13" i="26"/>
  <c r="U13" i="26"/>
  <c r="S13" i="26"/>
  <c r="Q13" i="26"/>
  <c r="O13" i="26"/>
  <c r="M13" i="26"/>
  <c r="W12" i="26"/>
  <c r="U12" i="26"/>
  <c r="S12" i="26"/>
  <c r="Q12" i="26"/>
  <c r="O12" i="26"/>
  <c r="M12" i="26"/>
  <c r="W11" i="26"/>
  <c r="U11" i="26"/>
  <c r="S11" i="26"/>
  <c r="Q11" i="26"/>
  <c r="O11" i="26"/>
  <c r="M11" i="26"/>
  <c r="W10" i="26"/>
  <c r="U10" i="26"/>
  <c r="S10" i="26"/>
  <c r="Q10" i="26"/>
  <c r="O10" i="26"/>
  <c r="M10" i="26"/>
  <c r="W9" i="26"/>
  <c r="U9" i="26"/>
  <c r="S9" i="26"/>
  <c r="Q9" i="26"/>
  <c r="O9" i="26"/>
  <c r="M9" i="26"/>
  <c r="W33" i="25"/>
  <c r="U33" i="25"/>
  <c r="S33" i="25"/>
  <c r="Q33" i="25"/>
  <c r="O33" i="25"/>
  <c r="M33" i="25"/>
  <c r="W31" i="25"/>
  <c r="U31" i="25"/>
  <c r="S31" i="25"/>
  <c r="Q31" i="25"/>
  <c r="O31" i="25"/>
  <c r="M31" i="25"/>
  <c r="W30" i="25"/>
  <c r="U30" i="25"/>
  <c r="S30" i="25"/>
  <c r="Q30" i="25"/>
  <c r="O30" i="25"/>
  <c r="M30" i="25"/>
  <c r="W29" i="25"/>
  <c r="U29" i="25"/>
  <c r="S29" i="25"/>
  <c r="Q29" i="25"/>
  <c r="O29" i="25"/>
  <c r="M29" i="25"/>
  <c r="W28" i="25"/>
  <c r="U28" i="25"/>
  <c r="S28" i="25"/>
  <c r="Q28" i="25"/>
  <c r="O28" i="25"/>
  <c r="M28" i="25"/>
  <c r="W27" i="25"/>
  <c r="U27" i="25"/>
  <c r="S27" i="25"/>
  <c r="Q27" i="25"/>
  <c r="O27" i="25"/>
  <c r="M27" i="25"/>
  <c r="W26" i="25"/>
  <c r="U26" i="25"/>
  <c r="S26" i="25"/>
  <c r="Q26" i="25"/>
  <c r="O26" i="25"/>
  <c r="M26" i="25"/>
  <c r="W25" i="25"/>
  <c r="U25" i="25"/>
  <c r="S25" i="25"/>
  <c r="Q25" i="25"/>
  <c r="O25" i="25"/>
  <c r="M25" i="25"/>
  <c r="W24" i="25"/>
  <c r="U24" i="25"/>
  <c r="S24" i="25"/>
  <c r="Q24" i="25"/>
  <c r="O24" i="25"/>
  <c r="M24" i="25"/>
  <c r="W23" i="25"/>
  <c r="U23" i="25"/>
  <c r="S23" i="25"/>
  <c r="Q23" i="25"/>
  <c r="O23" i="25"/>
  <c r="M23" i="25"/>
  <c r="W22" i="25"/>
  <c r="U22" i="25"/>
  <c r="S22" i="25"/>
  <c r="Q22" i="25"/>
  <c r="O22" i="25"/>
  <c r="M22" i="25"/>
  <c r="W21" i="25"/>
  <c r="U21" i="25"/>
  <c r="S21" i="25"/>
  <c r="Q21" i="25"/>
  <c r="O21" i="25"/>
  <c r="M21" i="25"/>
  <c r="W20" i="25"/>
  <c r="U20" i="25"/>
  <c r="S20" i="25"/>
  <c r="Q20" i="25"/>
  <c r="O20" i="25"/>
  <c r="M20" i="25"/>
  <c r="W19" i="25"/>
  <c r="U19" i="25"/>
  <c r="S19" i="25"/>
  <c r="Q19" i="25"/>
  <c r="O19" i="25"/>
  <c r="M19" i="25"/>
  <c r="W18" i="25"/>
  <c r="U18" i="25"/>
  <c r="S18" i="25"/>
  <c r="Q18" i="25"/>
  <c r="O18" i="25"/>
  <c r="M18" i="25"/>
  <c r="W17" i="25"/>
  <c r="U17" i="25"/>
  <c r="S17" i="25"/>
  <c r="Q17" i="25"/>
  <c r="O17" i="25"/>
  <c r="M17" i="25"/>
  <c r="W16" i="25"/>
  <c r="U16" i="25"/>
  <c r="S16" i="25"/>
  <c r="Q16" i="25"/>
  <c r="O16" i="25"/>
  <c r="M16" i="25"/>
  <c r="W15" i="25"/>
  <c r="U15" i="25"/>
  <c r="S15" i="25"/>
  <c r="Q15" i="25"/>
  <c r="O15" i="25"/>
  <c r="M15" i="25"/>
  <c r="W14" i="25"/>
  <c r="U14" i="25"/>
  <c r="S14" i="25"/>
  <c r="Q14" i="25"/>
  <c r="O14" i="25"/>
  <c r="M14" i="25"/>
  <c r="W13" i="25"/>
  <c r="U13" i="25"/>
  <c r="S13" i="25"/>
  <c r="Q13" i="25"/>
  <c r="O13" i="25"/>
  <c r="M13" i="25"/>
  <c r="W12" i="25"/>
  <c r="U12" i="25"/>
  <c r="S12" i="25"/>
  <c r="Q12" i="25"/>
  <c r="O12" i="25"/>
  <c r="M12" i="25"/>
  <c r="W11" i="25"/>
  <c r="U11" i="25"/>
  <c r="S11" i="25"/>
  <c r="Q11" i="25"/>
  <c r="O11" i="25"/>
  <c r="M11" i="25"/>
  <c r="W10" i="25"/>
  <c r="U10" i="25"/>
  <c r="S10" i="25"/>
  <c r="Q10" i="25"/>
  <c r="O10" i="25"/>
  <c r="M10" i="25"/>
  <c r="W9" i="25"/>
  <c r="U9" i="25"/>
  <c r="S9" i="25"/>
  <c r="Q9" i="25"/>
  <c r="O9" i="25"/>
  <c r="M9" i="25"/>
  <c r="W33" i="24"/>
  <c r="U33" i="24"/>
  <c r="S33" i="24"/>
  <c r="Q33" i="24"/>
  <c r="O33" i="24"/>
  <c r="M33" i="24"/>
  <c r="W31" i="24"/>
  <c r="U31" i="24"/>
  <c r="S31" i="24"/>
  <c r="Q31" i="24"/>
  <c r="O31" i="24"/>
  <c r="M31" i="24"/>
  <c r="W30" i="24"/>
  <c r="U30" i="24"/>
  <c r="S30" i="24"/>
  <c r="Q30" i="24"/>
  <c r="O30" i="24"/>
  <c r="M30" i="24"/>
  <c r="W29" i="24"/>
  <c r="U29" i="24"/>
  <c r="S29" i="24"/>
  <c r="Q29" i="24"/>
  <c r="O29" i="24"/>
  <c r="M29" i="24"/>
  <c r="W28" i="24"/>
  <c r="U28" i="24"/>
  <c r="S28" i="24"/>
  <c r="Q28" i="24"/>
  <c r="O28" i="24"/>
  <c r="M28" i="24"/>
  <c r="W27" i="24"/>
  <c r="U27" i="24"/>
  <c r="S27" i="24"/>
  <c r="Q27" i="24"/>
  <c r="O27" i="24"/>
  <c r="M27" i="24"/>
  <c r="W26" i="24"/>
  <c r="U26" i="24"/>
  <c r="S26" i="24"/>
  <c r="Q26" i="24"/>
  <c r="O26" i="24"/>
  <c r="M26" i="24"/>
  <c r="W25" i="24"/>
  <c r="U25" i="24"/>
  <c r="S25" i="24"/>
  <c r="Q25" i="24"/>
  <c r="O25" i="24"/>
  <c r="M25" i="24"/>
  <c r="W24" i="24"/>
  <c r="U24" i="24"/>
  <c r="S24" i="24"/>
  <c r="Q24" i="24"/>
  <c r="O24" i="24"/>
  <c r="M24" i="24"/>
  <c r="W23" i="24"/>
  <c r="U23" i="24"/>
  <c r="S23" i="24"/>
  <c r="Q23" i="24"/>
  <c r="O23" i="24"/>
  <c r="M23" i="24"/>
  <c r="W22" i="24"/>
  <c r="U22" i="24"/>
  <c r="S22" i="24"/>
  <c r="Q22" i="24"/>
  <c r="O22" i="24"/>
  <c r="M22" i="24"/>
  <c r="W21" i="24"/>
  <c r="U21" i="24"/>
  <c r="S21" i="24"/>
  <c r="Q21" i="24"/>
  <c r="O21" i="24"/>
  <c r="M21" i="24"/>
  <c r="W20" i="24"/>
  <c r="U20" i="24"/>
  <c r="S20" i="24"/>
  <c r="Q20" i="24"/>
  <c r="O20" i="24"/>
  <c r="M20" i="24"/>
  <c r="W19" i="24"/>
  <c r="U19" i="24"/>
  <c r="S19" i="24"/>
  <c r="Q19" i="24"/>
  <c r="O19" i="24"/>
  <c r="M19" i="24"/>
  <c r="W18" i="24"/>
  <c r="U18" i="24"/>
  <c r="S18" i="24"/>
  <c r="Q18" i="24"/>
  <c r="O18" i="24"/>
  <c r="M18" i="24"/>
  <c r="W17" i="24"/>
  <c r="U17" i="24"/>
  <c r="S17" i="24"/>
  <c r="Q17" i="24"/>
  <c r="O17" i="24"/>
  <c r="M17" i="24"/>
  <c r="W16" i="24"/>
  <c r="U16" i="24"/>
  <c r="S16" i="24"/>
  <c r="Q16" i="24"/>
  <c r="O16" i="24"/>
  <c r="M16" i="24"/>
  <c r="W15" i="24"/>
  <c r="U15" i="24"/>
  <c r="S15" i="24"/>
  <c r="Q15" i="24"/>
  <c r="O15" i="24"/>
  <c r="M15" i="24"/>
  <c r="W14" i="24"/>
  <c r="U14" i="24"/>
  <c r="S14" i="24"/>
  <c r="Q14" i="24"/>
  <c r="O14" i="24"/>
  <c r="M14" i="24"/>
  <c r="W13" i="24"/>
  <c r="U13" i="24"/>
  <c r="S13" i="24"/>
  <c r="Q13" i="24"/>
  <c r="O13" i="24"/>
  <c r="M13" i="24"/>
  <c r="W12" i="24"/>
  <c r="U12" i="24"/>
  <c r="S12" i="24"/>
  <c r="Q12" i="24"/>
  <c r="O12" i="24"/>
  <c r="M12" i="24"/>
  <c r="W11" i="24"/>
  <c r="U11" i="24"/>
  <c r="S11" i="24"/>
  <c r="Q11" i="24"/>
  <c r="O11" i="24"/>
  <c r="M11" i="24"/>
  <c r="W10" i="24"/>
  <c r="U10" i="24"/>
  <c r="S10" i="24"/>
  <c r="Q10" i="24"/>
  <c r="O10" i="24"/>
  <c r="M10" i="24"/>
  <c r="W9" i="24"/>
  <c r="U9" i="24"/>
  <c r="S9" i="24"/>
  <c r="Q9" i="24"/>
  <c r="O9" i="24"/>
  <c r="M9" i="24"/>
  <c r="W33" i="23"/>
  <c r="U33" i="23"/>
  <c r="S33" i="23"/>
  <c r="Q33" i="23"/>
  <c r="O33" i="23"/>
  <c r="M33" i="23"/>
  <c r="W31" i="23"/>
  <c r="U31" i="23"/>
  <c r="S31" i="23"/>
  <c r="Q31" i="23"/>
  <c r="O31" i="23"/>
  <c r="M31" i="23"/>
  <c r="W30" i="23"/>
  <c r="U30" i="23"/>
  <c r="S30" i="23"/>
  <c r="Q30" i="23"/>
  <c r="O30" i="23"/>
  <c r="M30" i="23"/>
  <c r="W29" i="23"/>
  <c r="U29" i="23"/>
  <c r="S29" i="23"/>
  <c r="Q29" i="23"/>
  <c r="O29" i="23"/>
  <c r="M29" i="23"/>
  <c r="W28" i="23"/>
  <c r="U28" i="23"/>
  <c r="S28" i="23"/>
  <c r="Q28" i="23"/>
  <c r="O28" i="23"/>
  <c r="M28" i="23"/>
  <c r="W27" i="23"/>
  <c r="U27" i="23"/>
  <c r="S27" i="23"/>
  <c r="Q27" i="23"/>
  <c r="O27" i="23"/>
  <c r="M27" i="23"/>
  <c r="W26" i="23"/>
  <c r="U26" i="23"/>
  <c r="S26" i="23"/>
  <c r="Q26" i="23"/>
  <c r="O26" i="23"/>
  <c r="M26" i="23"/>
  <c r="W25" i="23"/>
  <c r="U25" i="23"/>
  <c r="S25" i="23"/>
  <c r="Q25" i="23"/>
  <c r="O25" i="23"/>
  <c r="M25" i="23"/>
  <c r="W24" i="23"/>
  <c r="U24" i="23"/>
  <c r="S24" i="23"/>
  <c r="Q24" i="23"/>
  <c r="O24" i="23"/>
  <c r="M24" i="23"/>
  <c r="W23" i="23"/>
  <c r="U23" i="23"/>
  <c r="S23" i="23"/>
  <c r="Q23" i="23"/>
  <c r="O23" i="23"/>
  <c r="M23" i="23"/>
  <c r="W22" i="23"/>
  <c r="U22" i="23"/>
  <c r="S22" i="23"/>
  <c r="Q22" i="23"/>
  <c r="O22" i="23"/>
  <c r="M22" i="23"/>
  <c r="W21" i="23"/>
  <c r="U21" i="23"/>
  <c r="S21" i="23"/>
  <c r="Q21" i="23"/>
  <c r="O21" i="23"/>
  <c r="M21" i="23"/>
  <c r="W20" i="23"/>
  <c r="U20" i="23"/>
  <c r="S20" i="23"/>
  <c r="Q20" i="23"/>
  <c r="O20" i="23"/>
  <c r="M20" i="23"/>
  <c r="W19" i="23"/>
  <c r="U19" i="23"/>
  <c r="S19" i="23"/>
  <c r="Q19" i="23"/>
  <c r="O19" i="23"/>
  <c r="M19" i="23"/>
  <c r="W18" i="23"/>
  <c r="U18" i="23"/>
  <c r="S18" i="23"/>
  <c r="Q18" i="23"/>
  <c r="O18" i="23"/>
  <c r="M18" i="23"/>
  <c r="W17" i="23"/>
  <c r="U17" i="23"/>
  <c r="S17" i="23"/>
  <c r="Q17" i="23"/>
  <c r="O17" i="23"/>
  <c r="M17" i="23"/>
  <c r="W16" i="23"/>
  <c r="U16" i="23"/>
  <c r="S16" i="23"/>
  <c r="Q16" i="23"/>
  <c r="O16" i="23"/>
  <c r="M16" i="23"/>
  <c r="W15" i="23"/>
  <c r="U15" i="23"/>
  <c r="S15" i="23"/>
  <c r="Q15" i="23"/>
  <c r="O15" i="23"/>
  <c r="M15" i="23"/>
  <c r="W14" i="23"/>
  <c r="U14" i="23"/>
  <c r="S14" i="23"/>
  <c r="Q14" i="23"/>
  <c r="O14" i="23"/>
  <c r="M14" i="23"/>
  <c r="W13" i="23"/>
  <c r="U13" i="23"/>
  <c r="S13" i="23"/>
  <c r="Q13" i="23"/>
  <c r="O13" i="23"/>
  <c r="M13" i="23"/>
  <c r="W12" i="23"/>
  <c r="U12" i="23"/>
  <c r="S12" i="23"/>
  <c r="Q12" i="23"/>
  <c r="O12" i="23"/>
  <c r="M12" i="23"/>
  <c r="W11" i="23"/>
  <c r="U11" i="23"/>
  <c r="S11" i="23"/>
  <c r="Q11" i="23"/>
  <c r="O11" i="23"/>
  <c r="M11" i="23"/>
  <c r="W10" i="23"/>
  <c r="U10" i="23"/>
  <c r="S10" i="23"/>
  <c r="Q10" i="23"/>
  <c r="O10" i="23"/>
  <c r="M10" i="23"/>
  <c r="W9" i="23"/>
  <c r="U9" i="23"/>
  <c r="S9" i="23"/>
  <c r="Q9" i="23"/>
  <c r="O9" i="23"/>
  <c r="M9" i="23"/>
  <c r="W33" i="22"/>
  <c r="U33" i="22"/>
  <c r="S33" i="22"/>
  <c r="Q33" i="22"/>
  <c r="O33" i="22"/>
  <c r="M33" i="22"/>
  <c r="W31" i="22"/>
  <c r="U31" i="22"/>
  <c r="S31" i="22"/>
  <c r="Q31" i="22"/>
  <c r="O31" i="22"/>
  <c r="M31" i="22"/>
  <c r="W30" i="22"/>
  <c r="U30" i="22"/>
  <c r="S30" i="22"/>
  <c r="Q30" i="22"/>
  <c r="O30" i="22"/>
  <c r="M30" i="22"/>
  <c r="W29" i="22"/>
  <c r="U29" i="22"/>
  <c r="S29" i="22"/>
  <c r="Q29" i="22"/>
  <c r="O29" i="22"/>
  <c r="M29" i="22"/>
  <c r="W28" i="22"/>
  <c r="U28" i="22"/>
  <c r="S28" i="22"/>
  <c r="Q28" i="22"/>
  <c r="O28" i="22"/>
  <c r="M28" i="22"/>
  <c r="W27" i="22"/>
  <c r="U27" i="22"/>
  <c r="S27" i="22"/>
  <c r="Q27" i="22"/>
  <c r="O27" i="22"/>
  <c r="M27" i="22"/>
  <c r="W26" i="22"/>
  <c r="U26" i="22"/>
  <c r="S26" i="22"/>
  <c r="Q26" i="22"/>
  <c r="O26" i="22"/>
  <c r="M26" i="22"/>
  <c r="W25" i="22"/>
  <c r="U25" i="22"/>
  <c r="S25" i="22"/>
  <c r="Q25" i="22"/>
  <c r="O25" i="22"/>
  <c r="M25" i="22"/>
  <c r="W24" i="22"/>
  <c r="U24" i="22"/>
  <c r="S24" i="22"/>
  <c r="Q24" i="22"/>
  <c r="O24" i="22"/>
  <c r="M24" i="22"/>
  <c r="W23" i="22"/>
  <c r="U23" i="22"/>
  <c r="S23" i="22"/>
  <c r="Q23" i="22"/>
  <c r="O23" i="22"/>
  <c r="M23" i="22"/>
  <c r="W22" i="22"/>
  <c r="U22" i="22"/>
  <c r="S22" i="22"/>
  <c r="Q22" i="22"/>
  <c r="O22" i="22"/>
  <c r="M22" i="22"/>
  <c r="W21" i="22"/>
  <c r="U21" i="22"/>
  <c r="S21" i="22"/>
  <c r="Q21" i="22"/>
  <c r="O21" i="22"/>
  <c r="M21" i="22"/>
  <c r="W20" i="22"/>
  <c r="U20" i="22"/>
  <c r="S20" i="22"/>
  <c r="Q20" i="22"/>
  <c r="O20" i="22"/>
  <c r="M20" i="22"/>
  <c r="W19" i="22"/>
  <c r="U19" i="22"/>
  <c r="S19" i="22"/>
  <c r="Q19" i="22"/>
  <c r="O19" i="22"/>
  <c r="M19" i="22"/>
  <c r="W18" i="22"/>
  <c r="U18" i="22"/>
  <c r="S18" i="22"/>
  <c r="Q18" i="22"/>
  <c r="O18" i="22"/>
  <c r="M18" i="22"/>
  <c r="W17" i="22"/>
  <c r="U17" i="22"/>
  <c r="S17" i="22"/>
  <c r="Q17" i="22"/>
  <c r="O17" i="22"/>
  <c r="M17" i="22"/>
  <c r="W16" i="22"/>
  <c r="U16" i="22"/>
  <c r="S16" i="22"/>
  <c r="Q16" i="22"/>
  <c r="O16" i="22"/>
  <c r="M16" i="22"/>
  <c r="W15" i="22"/>
  <c r="U15" i="22"/>
  <c r="S15" i="22"/>
  <c r="Q15" i="22"/>
  <c r="O15" i="22"/>
  <c r="M15" i="22"/>
  <c r="W14" i="22"/>
  <c r="U14" i="22"/>
  <c r="S14" i="22"/>
  <c r="Q14" i="22"/>
  <c r="O14" i="22"/>
  <c r="M14" i="22"/>
  <c r="W13" i="22"/>
  <c r="U13" i="22"/>
  <c r="S13" i="22"/>
  <c r="Q13" i="22"/>
  <c r="O13" i="22"/>
  <c r="M13" i="22"/>
  <c r="W12" i="22"/>
  <c r="U12" i="22"/>
  <c r="S12" i="22"/>
  <c r="Q12" i="22"/>
  <c r="O12" i="22"/>
  <c r="M12" i="22"/>
  <c r="W11" i="22"/>
  <c r="U11" i="22"/>
  <c r="S11" i="22"/>
  <c r="Q11" i="22"/>
  <c r="O11" i="22"/>
  <c r="M11" i="22"/>
  <c r="W10" i="22"/>
  <c r="U10" i="22"/>
  <c r="S10" i="22"/>
  <c r="Q10" i="22"/>
  <c r="O10" i="22"/>
  <c r="M10" i="22"/>
  <c r="W9" i="22"/>
  <c r="U9" i="22"/>
  <c r="S9" i="22"/>
  <c r="Q9" i="22"/>
  <c r="O9" i="22"/>
  <c r="M9" i="22"/>
  <c r="W33" i="21"/>
  <c r="U33" i="21"/>
  <c r="S33" i="21"/>
  <c r="Q33" i="21"/>
  <c r="O33" i="21"/>
  <c r="M33" i="21"/>
  <c r="W31" i="21"/>
  <c r="U31" i="21"/>
  <c r="S31" i="21"/>
  <c r="Q31" i="21"/>
  <c r="O31" i="21"/>
  <c r="M31" i="21"/>
  <c r="W30" i="21"/>
  <c r="U30" i="21"/>
  <c r="S30" i="21"/>
  <c r="Q30" i="21"/>
  <c r="O30" i="21"/>
  <c r="M30" i="21"/>
  <c r="W29" i="21"/>
  <c r="U29" i="21"/>
  <c r="S29" i="21"/>
  <c r="Q29" i="21"/>
  <c r="O29" i="21"/>
  <c r="M29" i="21"/>
  <c r="W28" i="21"/>
  <c r="U28" i="21"/>
  <c r="S28" i="21"/>
  <c r="Q28" i="21"/>
  <c r="O28" i="21"/>
  <c r="M28" i="21"/>
  <c r="W27" i="21"/>
  <c r="U27" i="21"/>
  <c r="S27" i="21"/>
  <c r="Q27" i="21"/>
  <c r="O27" i="21"/>
  <c r="M27" i="21"/>
  <c r="W26" i="21"/>
  <c r="U26" i="21"/>
  <c r="S26" i="21"/>
  <c r="Q26" i="21"/>
  <c r="O26" i="21"/>
  <c r="M26" i="21"/>
  <c r="W25" i="21"/>
  <c r="U25" i="21"/>
  <c r="S25" i="21"/>
  <c r="Q25" i="21"/>
  <c r="O25" i="21"/>
  <c r="M25" i="21"/>
  <c r="W24" i="21"/>
  <c r="U24" i="21"/>
  <c r="S24" i="21"/>
  <c r="Q24" i="21"/>
  <c r="O24" i="21"/>
  <c r="M24" i="21"/>
  <c r="W23" i="21"/>
  <c r="U23" i="21"/>
  <c r="S23" i="21"/>
  <c r="Q23" i="21"/>
  <c r="O23" i="21"/>
  <c r="M23" i="21"/>
  <c r="W22" i="21"/>
  <c r="U22" i="21"/>
  <c r="S22" i="21"/>
  <c r="Q22" i="21"/>
  <c r="O22" i="21"/>
  <c r="M22" i="21"/>
  <c r="W21" i="21"/>
  <c r="U21" i="21"/>
  <c r="S21" i="21"/>
  <c r="Q21" i="21"/>
  <c r="O21" i="21"/>
  <c r="M21" i="21"/>
  <c r="W20" i="21"/>
  <c r="U20" i="21"/>
  <c r="S20" i="21"/>
  <c r="Q20" i="21"/>
  <c r="O20" i="21"/>
  <c r="M20" i="21"/>
  <c r="W19" i="21"/>
  <c r="U19" i="21"/>
  <c r="S19" i="21"/>
  <c r="Q19" i="21"/>
  <c r="O19" i="21"/>
  <c r="M19" i="21"/>
  <c r="W18" i="21"/>
  <c r="U18" i="21"/>
  <c r="S18" i="21"/>
  <c r="Q18" i="21"/>
  <c r="O18" i="21"/>
  <c r="M18" i="21"/>
  <c r="W17" i="21"/>
  <c r="U17" i="21"/>
  <c r="S17" i="21"/>
  <c r="Q17" i="21"/>
  <c r="O17" i="21"/>
  <c r="M17" i="21"/>
  <c r="W16" i="21"/>
  <c r="U16" i="21"/>
  <c r="S16" i="21"/>
  <c r="Q16" i="21"/>
  <c r="O16" i="21"/>
  <c r="M16" i="21"/>
  <c r="W15" i="21"/>
  <c r="U15" i="21"/>
  <c r="S15" i="21"/>
  <c r="Q15" i="21"/>
  <c r="O15" i="21"/>
  <c r="M15" i="21"/>
  <c r="W14" i="21"/>
  <c r="U14" i="21"/>
  <c r="S14" i="21"/>
  <c r="Q14" i="21"/>
  <c r="O14" i="21"/>
  <c r="M14" i="21"/>
  <c r="W13" i="21"/>
  <c r="U13" i="21"/>
  <c r="S13" i="21"/>
  <c r="Q13" i="21"/>
  <c r="O13" i="21"/>
  <c r="M13" i="21"/>
  <c r="W12" i="21"/>
  <c r="U12" i="21"/>
  <c r="S12" i="21"/>
  <c r="Q12" i="21"/>
  <c r="O12" i="21"/>
  <c r="M12" i="21"/>
  <c r="W11" i="21"/>
  <c r="U11" i="21"/>
  <c r="S11" i="21"/>
  <c r="Q11" i="21"/>
  <c r="O11" i="21"/>
  <c r="M11" i="21"/>
  <c r="W10" i="21"/>
  <c r="U10" i="21"/>
  <c r="S10" i="21"/>
  <c r="Q10" i="21"/>
  <c r="O10" i="21"/>
  <c r="M10" i="21"/>
  <c r="W9" i="21"/>
  <c r="U9" i="21"/>
  <c r="S9" i="21"/>
  <c r="Q9" i="21"/>
  <c r="O9" i="21"/>
  <c r="M9" i="21"/>
  <c r="W33" i="20"/>
  <c r="U33" i="20"/>
  <c r="S33" i="20"/>
  <c r="Q33" i="20"/>
  <c r="O33" i="20"/>
  <c r="M33" i="20"/>
  <c r="W31" i="20"/>
  <c r="U31" i="20"/>
  <c r="S31" i="20"/>
  <c r="Q31" i="20"/>
  <c r="O31" i="20"/>
  <c r="M31" i="20"/>
  <c r="W30" i="20"/>
  <c r="U30" i="20"/>
  <c r="S30" i="20"/>
  <c r="Q30" i="20"/>
  <c r="O30" i="20"/>
  <c r="M30" i="20"/>
  <c r="W29" i="20"/>
  <c r="U29" i="20"/>
  <c r="S29" i="20"/>
  <c r="Q29" i="20"/>
  <c r="O29" i="20"/>
  <c r="M29" i="20"/>
  <c r="W28" i="20"/>
  <c r="U28" i="20"/>
  <c r="S28" i="20"/>
  <c r="Q28" i="20"/>
  <c r="O28" i="20"/>
  <c r="M28" i="20"/>
  <c r="W27" i="20"/>
  <c r="U27" i="20"/>
  <c r="S27" i="20"/>
  <c r="Q27" i="20"/>
  <c r="O27" i="20"/>
  <c r="M27" i="20"/>
  <c r="W26" i="20"/>
  <c r="U26" i="20"/>
  <c r="S26" i="20"/>
  <c r="Q26" i="20"/>
  <c r="O26" i="20"/>
  <c r="M26" i="20"/>
  <c r="W25" i="20"/>
  <c r="U25" i="20"/>
  <c r="S25" i="20"/>
  <c r="Q25" i="20"/>
  <c r="O25" i="20"/>
  <c r="M25" i="20"/>
  <c r="W24" i="20"/>
  <c r="U24" i="20"/>
  <c r="S24" i="20"/>
  <c r="Q24" i="20"/>
  <c r="O24" i="20"/>
  <c r="M24" i="20"/>
  <c r="W23" i="20"/>
  <c r="U23" i="20"/>
  <c r="S23" i="20"/>
  <c r="Q23" i="20"/>
  <c r="O23" i="20"/>
  <c r="M23" i="20"/>
  <c r="W22" i="20"/>
  <c r="U22" i="20"/>
  <c r="S22" i="20"/>
  <c r="Q22" i="20"/>
  <c r="O22" i="20"/>
  <c r="M22" i="20"/>
  <c r="W21" i="20"/>
  <c r="U21" i="20"/>
  <c r="S21" i="20"/>
  <c r="Q21" i="20"/>
  <c r="O21" i="20"/>
  <c r="M21" i="20"/>
  <c r="W20" i="20"/>
  <c r="U20" i="20"/>
  <c r="S20" i="20"/>
  <c r="Q20" i="20"/>
  <c r="O20" i="20"/>
  <c r="M20" i="20"/>
  <c r="W19" i="20"/>
  <c r="U19" i="20"/>
  <c r="S19" i="20"/>
  <c r="Q19" i="20"/>
  <c r="O19" i="20"/>
  <c r="M19" i="20"/>
  <c r="W18" i="20"/>
  <c r="U18" i="20"/>
  <c r="S18" i="20"/>
  <c r="Q18" i="20"/>
  <c r="O18" i="20"/>
  <c r="M18" i="20"/>
  <c r="W17" i="20"/>
  <c r="U17" i="20"/>
  <c r="S17" i="20"/>
  <c r="Q17" i="20"/>
  <c r="O17" i="20"/>
  <c r="M17" i="20"/>
  <c r="W16" i="20"/>
  <c r="U16" i="20"/>
  <c r="S16" i="20"/>
  <c r="Q16" i="20"/>
  <c r="O16" i="20"/>
  <c r="M16" i="20"/>
  <c r="W15" i="20"/>
  <c r="U15" i="20"/>
  <c r="S15" i="20"/>
  <c r="Q15" i="20"/>
  <c r="O15" i="20"/>
  <c r="M15" i="20"/>
  <c r="W14" i="20"/>
  <c r="U14" i="20"/>
  <c r="S14" i="20"/>
  <c r="Q14" i="20"/>
  <c r="O14" i="20"/>
  <c r="M14" i="20"/>
  <c r="W13" i="20"/>
  <c r="U13" i="20"/>
  <c r="S13" i="20"/>
  <c r="Q13" i="20"/>
  <c r="O13" i="20"/>
  <c r="M13" i="20"/>
  <c r="W12" i="20"/>
  <c r="U12" i="20"/>
  <c r="S12" i="20"/>
  <c r="Q12" i="20"/>
  <c r="O12" i="20"/>
  <c r="M12" i="20"/>
  <c r="W11" i="20"/>
  <c r="U11" i="20"/>
  <c r="S11" i="20"/>
  <c r="Q11" i="20"/>
  <c r="O11" i="20"/>
  <c r="M11" i="20"/>
  <c r="W10" i="20"/>
  <c r="U10" i="20"/>
  <c r="S10" i="20"/>
  <c r="Q10" i="20"/>
  <c r="O10" i="20"/>
  <c r="M10" i="20"/>
  <c r="W9" i="20"/>
  <c r="U9" i="20"/>
  <c r="S9" i="20"/>
  <c r="Q9" i="20"/>
  <c r="O9" i="20"/>
  <c r="M9" i="20"/>
  <c r="W33" i="19"/>
  <c r="U33" i="19"/>
  <c r="S33" i="19"/>
  <c r="Q33" i="19"/>
  <c r="O33" i="19"/>
  <c r="M33" i="19"/>
  <c r="W31" i="19"/>
  <c r="U31" i="19"/>
  <c r="S31" i="19"/>
  <c r="Q31" i="19"/>
  <c r="O31" i="19"/>
  <c r="M31" i="19"/>
  <c r="W30" i="19"/>
  <c r="U30" i="19"/>
  <c r="S30" i="19"/>
  <c r="Q30" i="19"/>
  <c r="O30" i="19"/>
  <c r="M30" i="19"/>
  <c r="W29" i="19"/>
  <c r="U29" i="19"/>
  <c r="S29" i="19"/>
  <c r="Q29" i="19"/>
  <c r="O29" i="19"/>
  <c r="M29" i="19"/>
  <c r="W28" i="19"/>
  <c r="U28" i="19"/>
  <c r="S28" i="19"/>
  <c r="Q28" i="19"/>
  <c r="O28" i="19"/>
  <c r="M28" i="19"/>
  <c r="W27" i="19"/>
  <c r="U27" i="19"/>
  <c r="S27" i="19"/>
  <c r="Q27" i="19"/>
  <c r="O27" i="19"/>
  <c r="M27" i="19"/>
  <c r="W26" i="19"/>
  <c r="U26" i="19"/>
  <c r="S26" i="19"/>
  <c r="Q26" i="19"/>
  <c r="O26" i="19"/>
  <c r="M26" i="19"/>
  <c r="W25" i="19"/>
  <c r="U25" i="19"/>
  <c r="S25" i="19"/>
  <c r="Q25" i="19"/>
  <c r="O25" i="19"/>
  <c r="M25" i="19"/>
  <c r="W24" i="19"/>
  <c r="U24" i="19"/>
  <c r="S24" i="19"/>
  <c r="Q24" i="19"/>
  <c r="O24" i="19"/>
  <c r="M24" i="19"/>
  <c r="W23" i="19"/>
  <c r="U23" i="19"/>
  <c r="S23" i="19"/>
  <c r="Q23" i="19"/>
  <c r="O23" i="19"/>
  <c r="M23" i="19"/>
  <c r="W22" i="19"/>
  <c r="U22" i="19"/>
  <c r="S22" i="19"/>
  <c r="Q22" i="19"/>
  <c r="O22" i="19"/>
  <c r="M22" i="19"/>
  <c r="W21" i="19"/>
  <c r="U21" i="19"/>
  <c r="S21" i="19"/>
  <c r="Q21" i="19"/>
  <c r="O21" i="19"/>
  <c r="M21" i="19"/>
  <c r="W20" i="19"/>
  <c r="U20" i="19"/>
  <c r="S20" i="19"/>
  <c r="Q20" i="19"/>
  <c r="O20" i="19"/>
  <c r="M20" i="19"/>
  <c r="W19" i="19"/>
  <c r="U19" i="19"/>
  <c r="S19" i="19"/>
  <c r="Q19" i="19"/>
  <c r="O19" i="19"/>
  <c r="M19" i="19"/>
  <c r="W18" i="19"/>
  <c r="U18" i="19"/>
  <c r="S18" i="19"/>
  <c r="Q18" i="19"/>
  <c r="O18" i="19"/>
  <c r="M18" i="19"/>
  <c r="W17" i="19"/>
  <c r="U17" i="19"/>
  <c r="S17" i="19"/>
  <c r="Q17" i="19"/>
  <c r="O17" i="19"/>
  <c r="M17" i="19"/>
  <c r="W16" i="19"/>
  <c r="U16" i="19"/>
  <c r="S16" i="19"/>
  <c r="Q16" i="19"/>
  <c r="O16" i="19"/>
  <c r="M16" i="19"/>
  <c r="W15" i="19"/>
  <c r="U15" i="19"/>
  <c r="S15" i="19"/>
  <c r="Q15" i="19"/>
  <c r="O15" i="19"/>
  <c r="M15" i="19"/>
  <c r="W14" i="19"/>
  <c r="U14" i="19"/>
  <c r="S14" i="19"/>
  <c r="Q14" i="19"/>
  <c r="O14" i="19"/>
  <c r="M14" i="19"/>
  <c r="W13" i="19"/>
  <c r="U13" i="19"/>
  <c r="S13" i="19"/>
  <c r="Q13" i="19"/>
  <c r="O13" i="19"/>
  <c r="M13" i="19"/>
  <c r="W12" i="19"/>
  <c r="U12" i="19"/>
  <c r="S12" i="19"/>
  <c r="Q12" i="19"/>
  <c r="O12" i="19"/>
  <c r="M12" i="19"/>
  <c r="W11" i="19"/>
  <c r="U11" i="19"/>
  <c r="S11" i="19"/>
  <c r="Q11" i="19"/>
  <c r="O11" i="19"/>
  <c r="M11" i="19"/>
  <c r="W10" i="19"/>
  <c r="U10" i="19"/>
  <c r="S10" i="19"/>
  <c r="Q10" i="19"/>
  <c r="O10" i="19"/>
  <c r="M10" i="19"/>
  <c r="W9" i="19"/>
  <c r="U9" i="19"/>
  <c r="S9" i="19"/>
  <c r="Q9" i="19"/>
  <c r="O9" i="19"/>
  <c r="M9" i="19"/>
  <c r="W33" i="18"/>
  <c r="U33" i="18"/>
  <c r="S33" i="18"/>
  <c r="Q33" i="18"/>
  <c r="O33" i="18"/>
  <c r="M33" i="18"/>
  <c r="W31" i="18"/>
  <c r="U31" i="18"/>
  <c r="S31" i="18"/>
  <c r="Q31" i="18"/>
  <c r="O31" i="18"/>
  <c r="M31" i="18"/>
  <c r="W30" i="18"/>
  <c r="U30" i="18"/>
  <c r="S30" i="18"/>
  <c r="Q30" i="18"/>
  <c r="O30" i="18"/>
  <c r="M30" i="18"/>
  <c r="W29" i="18"/>
  <c r="U29" i="18"/>
  <c r="S29" i="18"/>
  <c r="Q29" i="18"/>
  <c r="O29" i="18"/>
  <c r="M29" i="18"/>
  <c r="W28" i="18"/>
  <c r="U28" i="18"/>
  <c r="S28" i="18"/>
  <c r="Q28" i="18"/>
  <c r="O28" i="18"/>
  <c r="M28" i="18"/>
  <c r="W27" i="18"/>
  <c r="U27" i="18"/>
  <c r="S27" i="18"/>
  <c r="Q27" i="18"/>
  <c r="O27" i="18"/>
  <c r="M27" i="18"/>
  <c r="W26" i="18"/>
  <c r="U26" i="18"/>
  <c r="S26" i="18"/>
  <c r="Q26" i="18"/>
  <c r="O26" i="18"/>
  <c r="M26" i="18"/>
  <c r="W25" i="18"/>
  <c r="U25" i="18"/>
  <c r="S25" i="18"/>
  <c r="Q25" i="18"/>
  <c r="O25" i="18"/>
  <c r="M25" i="18"/>
  <c r="W24" i="18"/>
  <c r="U24" i="18"/>
  <c r="S24" i="18"/>
  <c r="Q24" i="18"/>
  <c r="O24" i="18"/>
  <c r="M24" i="18"/>
  <c r="W23" i="18"/>
  <c r="U23" i="18"/>
  <c r="S23" i="18"/>
  <c r="Q23" i="18"/>
  <c r="O23" i="18"/>
  <c r="M23" i="18"/>
  <c r="W22" i="18"/>
  <c r="U22" i="18"/>
  <c r="S22" i="18"/>
  <c r="Q22" i="18"/>
  <c r="O22" i="18"/>
  <c r="M22" i="18"/>
  <c r="W21" i="18"/>
  <c r="U21" i="18"/>
  <c r="S21" i="18"/>
  <c r="Q21" i="18"/>
  <c r="O21" i="18"/>
  <c r="M21" i="18"/>
  <c r="W20" i="18"/>
  <c r="U20" i="18"/>
  <c r="S20" i="18"/>
  <c r="Q20" i="18"/>
  <c r="O20" i="18"/>
  <c r="M20" i="18"/>
  <c r="W19" i="18"/>
  <c r="U19" i="18"/>
  <c r="S19" i="18"/>
  <c r="Q19" i="18"/>
  <c r="O19" i="18"/>
  <c r="M19" i="18"/>
  <c r="W18" i="18"/>
  <c r="U18" i="18"/>
  <c r="S18" i="18"/>
  <c r="Q18" i="18"/>
  <c r="O18" i="18"/>
  <c r="M18" i="18"/>
  <c r="W17" i="18"/>
  <c r="U17" i="18"/>
  <c r="S17" i="18"/>
  <c r="Q17" i="18"/>
  <c r="O17" i="18"/>
  <c r="M17" i="18"/>
  <c r="W16" i="18"/>
  <c r="U16" i="18"/>
  <c r="S16" i="18"/>
  <c r="Q16" i="18"/>
  <c r="O16" i="18"/>
  <c r="M16" i="18"/>
  <c r="W15" i="18"/>
  <c r="U15" i="18"/>
  <c r="S15" i="18"/>
  <c r="Q15" i="18"/>
  <c r="O15" i="18"/>
  <c r="M15" i="18"/>
  <c r="W14" i="18"/>
  <c r="U14" i="18"/>
  <c r="S14" i="18"/>
  <c r="Q14" i="18"/>
  <c r="O14" i="18"/>
  <c r="M14" i="18"/>
  <c r="W13" i="18"/>
  <c r="U13" i="18"/>
  <c r="S13" i="18"/>
  <c r="Q13" i="18"/>
  <c r="O13" i="18"/>
  <c r="M13" i="18"/>
  <c r="W12" i="18"/>
  <c r="U12" i="18"/>
  <c r="S12" i="18"/>
  <c r="Q12" i="18"/>
  <c r="O12" i="18"/>
  <c r="M12" i="18"/>
  <c r="W11" i="18"/>
  <c r="U11" i="18"/>
  <c r="S11" i="18"/>
  <c r="Q11" i="18"/>
  <c r="O11" i="18"/>
  <c r="M11" i="18"/>
  <c r="W10" i="18"/>
  <c r="U10" i="18"/>
  <c r="S10" i="18"/>
  <c r="Q10" i="18"/>
  <c r="O10" i="18"/>
  <c r="M10" i="18"/>
  <c r="W9" i="18"/>
  <c r="U9" i="18"/>
  <c r="S9" i="18"/>
  <c r="Q9" i="18"/>
  <c r="O9" i="18"/>
  <c r="M9" i="18"/>
  <c r="W33" i="17"/>
  <c r="U33" i="17"/>
  <c r="S33" i="17"/>
  <c r="Q33" i="17"/>
  <c r="O33" i="17"/>
  <c r="M33" i="17"/>
  <c r="W31" i="17"/>
  <c r="U31" i="17"/>
  <c r="S31" i="17"/>
  <c r="Q31" i="17"/>
  <c r="O31" i="17"/>
  <c r="M31" i="17"/>
  <c r="W30" i="17"/>
  <c r="U30" i="17"/>
  <c r="S30" i="17"/>
  <c r="Q30" i="17"/>
  <c r="O30" i="17"/>
  <c r="M30" i="17"/>
  <c r="W29" i="17"/>
  <c r="U29" i="17"/>
  <c r="S29" i="17"/>
  <c r="Q29" i="17"/>
  <c r="O29" i="17"/>
  <c r="M29" i="17"/>
  <c r="W28" i="17"/>
  <c r="U28" i="17"/>
  <c r="S28" i="17"/>
  <c r="Q28" i="17"/>
  <c r="O28" i="17"/>
  <c r="M28" i="17"/>
  <c r="W27" i="17"/>
  <c r="U27" i="17"/>
  <c r="S27" i="17"/>
  <c r="Q27" i="17"/>
  <c r="O27" i="17"/>
  <c r="M27" i="17"/>
  <c r="W26" i="17"/>
  <c r="U26" i="17"/>
  <c r="S26" i="17"/>
  <c r="Q26" i="17"/>
  <c r="O26" i="17"/>
  <c r="M26" i="17"/>
  <c r="W25" i="17"/>
  <c r="U25" i="17"/>
  <c r="S25" i="17"/>
  <c r="Q25" i="17"/>
  <c r="O25" i="17"/>
  <c r="M25" i="17"/>
  <c r="W24" i="17"/>
  <c r="U24" i="17"/>
  <c r="S24" i="17"/>
  <c r="Q24" i="17"/>
  <c r="O24" i="17"/>
  <c r="M24" i="17"/>
  <c r="W23" i="17"/>
  <c r="U23" i="17"/>
  <c r="S23" i="17"/>
  <c r="Q23" i="17"/>
  <c r="O23" i="17"/>
  <c r="M23" i="17"/>
  <c r="W22" i="17"/>
  <c r="U22" i="17"/>
  <c r="S22" i="17"/>
  <c r="Q22" i="17"/>
  <c r="O22" i="17"/>
  <c r="M22" i="17"/>
  <c r="W21" i="17"/>
  <c r="U21" i="17"/>
  <c r="S21" i="17"/>
  <c r="Q21" i="17"/>
  <c r="O21" i="17"/>
  <c r="M21" i="17"/>
  <c r="W20" i="17"/>
  <c r="U20" i="17"/>
  <c r="S20" i="17"/>
  <c r="Q20" i="17"/>
  <c r="O20" i="17"/>
  <c r="M20" i="17"/>
  <c r="W19" i="17"/>
  <c r="U19" i="17"/>
  <c r="S19" i="17"/>
  <c r="Q19" i="17"/>
  <c r="O19" i="17"/>
  <c r="M19" i="17"/>
  <c r="W18" i="17"/>
  <c r="U18" i="17"/>
  <c r="S18" i="17"/>
  <c r="Q18" i="17"/>
  <c r="O18" i="17"/>
  <c r="M18" i="17"/>
  <c r="W17" i="17"/>
  <c r="U17" i="17"/>
  <c r="S17" i="17"/>
  <c r="Q17" i="17"/>
  <c r="O17" i="17"/>
  <c r="M17" i="17"/>
  <c r="W16" i="17"/>
  <c r="U16" i="17"/>
  <c r="S16" i="17"/>
  <c r="Q16" i="17"/>
  <c r="O16" i="17"/>
  <c r="M16" i="17"/>
  <c r="W15" i="17"/>
  <c r="U15" i="17"/>
  <c r="S15" i="17"/>
  <c r="Q15" i="17"/>
  <c r="O15" i="17"/>
  <c r="M15" i="17"/>
  <c r="W14" i="17"/>
  <c r="U14" i="17"/>
  <c r="S14" i="17"/>
  <c r="Q14" i="17"/>
  <c r="O14" i="17"/>
  <c r="M14" i="17"/>
  <c r="W13" i="17"/>
  <c r="U13" i="17"/>
  <c r="S13" i="17"/>
  <c r="Q13" i="17"/>
  <c r="O13" i="17"/>
  <c r="M13" i="17"/>
  <c r="W12" i="17"/>
  <c r="U12" i="17"/>
  <c r="S12" i="17"/>
  <c r="Q12" i="17"/>
  <c r="O12" i="17"/>
  <c r="M12" i="17"/>
  <c r="W11" i="17"/>
  <c r="U11" i="17"/>
  <c r="S11" i="17"/>
  <c r="Q11" i="17"/>
  <c r="O11" i="17"/>
  <c r="M11" i="17"/>
  <c r="W10" i="17"/>
  <c r="U10" i="17"/>
  <c r="S10" i="17"/>
  <c r="Q10" i="17"/>
  <c r="O10" i="17"/>
  <c r="M10" i="17"/>
  <c r="W9" i="17"/>
  <c r="U9" i="17"/>
  <c r="S9" i="17"/>
  <c r="Q9" i="17"/>
  <c r="O9" i="17"/>
  <c r="M9" i="17"/>
  <c r="W33" i="16"/>
  <c r="U33" i="16"/>
  <c r="S33" i="16"/>
  <c r="Q33" i="16"/>
  <c r="O33" i="16"/>
  <c r="M33" i="16"/>
  <c r="W31" i="16"/>
  <c r="U31" i="16"/>
  <c r="S31" i="16"/>
  <c r="Q31" i="16"/>
  <c r="O31" i="16"/>
  <c r="M31" i="16"/>
  <c r="W30" i="16"/>
  <c r="U30" i="16"/>
  <c r="S30" i="16"/>
  <c r="Q30" i="16"/>
  <c r="O30" i="16"/>
  <c r="M30" i="16"/>
  <c r="W29" i="16"/>
  <c r="U29" i="16"/>
  <c r="S29" i="16"/>
  <c r="Q29" i="16"/>
  <c r="O29" i="16"/>
  <c r="M29" i="16"/>
  <c r="W28" i="16"/>
  <c r="U28" i="16"/>
  <c r="S28" i="16"/>
  <c r="Q28" i="16"/>
  <c r="O28" i="16"/>
  <c r="M28" i="16"/>
  <c r="W27" i="16"/>
  <c r="U27" i="16"/>
  <c r="S27" i="16"/>
  <c r="Q27" i="16"/>
  <c r="O27" i="16"/>
  <c r="M27" i="16"/>
  <c r="W26" i="16"/>
  <c r="U26" i="16"/>
  <c r="S26" i="16"/>
  <c r="Q26" i="16"/>
  <c r="O26" i="16"/>
  <c r="M26" i="16"/>
  <c r="W25" i="16"/>
  <c r="U25" i="16"/>
  <c r="S25" i="16"/>
  <c r="Q25" i="16"/>
  <c r="O25" i="16"/>
  <c r="M25" i="16"/>
  <c r="W24" i="16"/>
  <c r="U24" i="16"/>
  <c r="S24" i="16"/>
  <c r="Q24" i="16"/>
  <c r="O24" i="16"/>
  <c r="M24" i="16"/>
  <c r="W23" i="16"/>
  <c r="U23" i="16"/>
  <c r="S23" i="16"/>
  <c r="Q23" i="16"/>
  <c r="O23" i="16"/>
  <c r="M23" i="16"/>
  <c r="W22" i="16"/>
  <c r="U22" i="16"/>
  <c r="S22" i="16"/>
  <c r="Q22" i="16"/>
  <c r="O22" i="16"/>
  <c r="M22" i="16"/>
  <c r="W21" i="16"/>
  <c r="U21" i="16"/>
  <c r="S21" i="16"/>
  <c r="Q21" i="16"/>
  <c r="O21" i="16"/>
  <c r="M21" i="16"/>
  <c r="W20" i="16"/>
  <c r="U20" i="16"/>
  <c r="S20" i="16"/>
  <c r="Q20" i="16"/>
  <c r="O20" i="16"/>
  <c r="M20" i="16"/>
  <c r="W19" i="16"/>
  <c r="U19" i="16"/>
  <c r="S19" i="16"/>
  <c r="Q19" i="16"/>
  <c r="O19" i="16"/>
  <c r="M19" i="16"/>
  <c r="W18" i="16"/>
  <c r="U18" i="16"/>
  <c r="S18" i="16"/>
  <c r="Q18" i="16"/>
  <c r="O18" i="16"/>
  <c r="M18" i="16"/>
  <c r="W17" i="16"/>
  <c r="U17" i="16"/>
  <c r="S17" i="16"/>
  <c r="Q17" i="16"/>
  <c r="O17" i="16"/>
  <c r="M17" i="16"/>
  <c r="W16" i="16"/>
  <c r="U16" i="16"/>
  <c r="S16" i="16"/>
  <c r="Q16" i="16"/>
  <c r="O16" i="16"/>
  <c r="M16" i="16"/>
  <c r="W15" i="16"/>
  <c r="U15" i="16"/>
  <c r="S15" i="16"/>
  <c r="Q15" i="16"/>
  <c r="O15" i="16"/>
  <c r="M15" i="16"/>
  <c r="W14" i="16"/>
  <c r="U14" i="16"/>
  <c r="S14" i="16"/>
  <c r="Q14" i="16"/>
  <c r="O14" i="16"/>
  <c r="M14" i="16"/>
  <c r="W13" i="16"/>
  <c r="U13" i="16"/>
  <c r="S13" i="16"/>
  <c r="Q13" i="16"/>
  <c r="O13" i="16"/>
  <c r="M13" i="16"/>
  <c r="W12" i="16"/>
  <c r="U12" i="16"/>
  <c r="S12" i="16"/>
  <c r="Q12" i="16"/>
  <c r="O12" i="16"/>
  <c r="M12" i="16"/>
  <c r="W11" i="16"/>
  <c r="U11" i="16"/>
  <c r="S11" i="16"/>
  <c r="Q11" i="16"/>
  <c r="O11" i="16"/>
  <c r="M11" i="16"/>
  <c r="W10" i="16"/>
  <c r="U10" i="16"/>
  <c r="S10" i="16"/>
  <c r="Q10" i="16"/>
  <c r="O10" i="16"/>
  <c r="M10" i="16"/>
  <c r="W9" i="16"/>
  <c r="U9" i="16"/>
  <c r="S9" i="16"/>
  <c r="Q9" i="16"/>
  <c r="O9" i="16"/>
  <c r="M9" i="16"/>
  <c r="W33" i="15"/>
  <c r="U33" i="15"/>
  <c r="S33" i="15"/>
  <c r="Q33" i="15"/>
  <c r="O33" i="15"/>
  <c r="M33" i="15"/>
  <c r="W31" i="15"/>
  <c r="U31" i="15"/>
  <c r="S31" i="15"/>
  <c r="Q31" i="15"/>
  <c r="O31" i="15"/>
  <c r="M31" i="15"/>
  <c r="W30" i="15"/>
  <c r="U30" i="15"/>
  <c r="S30" i="15"/>
  <c r="Q30" i="15"/>
  <c r="O30" i="15"/>
  <c r="M30" i="15"/>
  <c r="W29" i="15"/>
  <c r="U29" i="15"/>
  <c r="S29" i="15"/>
  <c r="Q29" i="15"/>
  <c r="O29" i="15"/>
  <c r="M29" i="15"/>
  <c r="W28" i="15"/>
  <c r="U28" i="15"/>
  <c r="S28" i="15"/>
  <c r="Q28" i="15"/>
  <c r="O28" i="15"/>
  <c r="M28" i="15"/>
  <c r="W27" i="15"/>
  <c r="U27" i="15"/>
  <c r="S27" i="15"/>
  <c r="Q27" i="15"/>
  <c r="O27" i="15"/>
  <c r="M27" i="15"/>
  <c r="W26" i="15"/>
  <c r="U26" i="15"/>
  <c r="S26" i="15"/>
  <c r="Q26" i="15"/>
  <c r="O26" i="15"/>
  <c r="M26" i="15"/>
  <c r="W25" i="15"/>
  <c r="U25" i="15"/>
  <c r="S25" i="15"/>
  <c r="Q25" i="15"/>
  <c r="O25" i="15"/>
  <c r="M25" i="15"/>
  <c r="W24" i="15"/>
  <c r="U24" i="15"/>
  <c r="S24" i="15"/>
  <c r="Q24" i="15"/>
  <c r="O24" i="15"/>
  <c r="M24" i="15"/>
  <c r="W23" i="15"/>
  <c r="U23" i="15"/>
  <c r="S23" i="15"/>
  <c r="Q23" i="15"/>
  <c r="O23" i="15"/>
  <c r="M23" i="15"/>
  <c r="W22" i="15"/>
  <c r="U22" i="15"/>
  <c r="S22" i="15"/>
  <c r="Q22" i="15"/>
  <c r="O22" i="15"/>
  <c r="M22" i="15"/>
  <c r="W21" i="15"/>
  <c r="U21" i="15"/>
  <c r="S21" i="15"/>
  <c r="Q21" i="15"/>
  <c r="O21" i="15"/>
  <c r="M21" i="15"/>
  <c r="W20" i="15"/>
  <c r="U20" i="15"/>
  <c r="S20" i="15"/>
  <c r="Q20" i="15"/>
  <c r="O20" i="15"/>
  <c r="M20" i="15"/>
  <c r="W19" i="15"/>
  <c r="U19" i="15"/>
  <c r="S19" i="15"/>
  <c r="Q19" i="15"/>
  <c r="O19" i="15"/>
  <c r="M19" i="15"/>
  <c r="W18" i="15"/>
  <c r="U18" i="15"/>
  <c r="S18" i="15"/>
  <c r="Q18" i="15"/>
  <c r="O18" i="15"/>
  <c r="M18" i="15"/>
  <c r="W17" i="15"/>
  <c r="U17" i="15"/>
  <c r="S17" i="15"/>
  <c r="Q17" i="15"/>
  <c r="O17" i="15"/>
  <c r="M17" i="15"/>
  <c r="W16" i="15"/>
  <c r="U16" i="15"/>
  <c r="S16" i="15"/>
  <c r="Q16" i="15"/>
  <c r="O16" i="15"/>
  <c r="M16" i="15"/>
  <c r="W15" i="15"/>
  <c r="U15" i="15"/>
  <c r="S15" i="15"/>
  <c r="Q15" i="15"/>
  <c r="O15" i="15"/>
  <c r="M15" i="15"/>
  <c r="W14" i="15"/>
  <c r="U14" i="15"/>
  <c r="S14" i="15"/>
  <c r="Q14" i="15"/>
  <c r="O14" i="15"/>
  <c r="M14" i="15"/>
  <c r="W13" i="15"/>
  <c r="U13" i="15"/>
  <c r="S13" i="15"/>
  <c r="Q13" i="15"/>
  <c r="O13" i="15"/>
  <c r="M13" i="15"/>
  <c r="W12" i="15"/>
  <c r="U12" i="15"/>
  <c r="S12" i="15"/>
  <c r="Q12" i="15"/>
  <c r="O12" i="15"/>
  <c r="M12" i="15"/>
  <c r="W11" i="15"/>
  <c r="U11" i="15"/>
  <c r="S11" i="15"/>
  <c r="Q11" i="15"/>
  <c r="O11" i="15"/>
  <c r="M11" i="15"/>
  <c r="W10" i="15"/>
  <c r="U10" i="15"/>
  <c r="S10" i="15"/>
  <c r="Q10" i="15"/>
  <c r="O10" i="15"/>
  <c r="M10" i="15"/>
  <c r="W9" i="15"/>
  <c r="U9" i="15"/>
  <c r="S9" i="15"/>
  <c r="Q9" i="15"/>
  <c r="O9" i="15"/>
  <c r="M9" i="15"/>
  <c r="W33" i="14"/>
  <c r="U33" i="14"/>
  <c r="S33" i="14"/>
  <c r="Q33" i="14"/>
  <c r="O33" i="14"/>
  <c r="M33" i="14"/>
  <c r="W31" i="14"/>
  <c r="U31" i="14"/>
  <c r="S31" i="14"/>
  <c r="Q31" i="14"/>
  <c r="O31" i="14"/>
  <c r="M31" i="14"/>
  <c r="W30" i="14"/>
  <c r="U30" i="14"/>
  <c r="S30" i="14"/>
  <c r="Q30" i="14"/>
  <c r="O30" i="14"/>
  <c r="M30" i="14"/>
  <c r="W29" i="14"/>
  <c r="U29" i="14"/>
  <c r="S29" i="14"/>
  <c r="Q29" i="14"/>
  <c r="O29" i="14"/>
  <c r="M29" i="14"/>
  <c r="W28" i="14"/>
  <c r="U28" i="14"/>
  <c r="S28" i="14"/>
  <c r="Q28" i="14"/>
  <c r="O28" i="14"/>
  <c r="M28" i="14"/>
  <c r="W27" i="14"/>
  <c r="U27" i="14"/>
  <c r="S27" i="14"/>
  <c r="Q27" i="14"/>
  <c r="O27" i="14"/>
  <c r="M27" i="14"/>
  <c r="W26" i="14"/>
  <c r="U26" i="14"/>
  <c r="S26" i="14"/>
  <c r="Q26" i="14"/>
  <c r="O26" i="14"/>
  <c r="M26" i="14"/>
  <c r="W25" i="14"/>
  <c r="U25" i="14"/>
  <c r="S25" i="14"/>
  <c r="Q25" i="14"/>
  <c r="O25" i="14"/>
  <c r="M25" i="14"/>
  <c r="W24" i="14"/>
  <c r="U24" i="14"/>
  <c r="S24" i="14"/>
  <c r="Q24" i="14"/>
  <c r="O24" i="14"/>
  <c r="M24" i="14"/>
  <c r="W23" i="14"/>
  <c r="U23" i="14"/>
  <c r="S23" i="14"/>
  <c r="Q23" i="14"/>
  <c r="O23" i="14"/>
  <c r="M23" i="14"/>
  <c r="W22" i="14"/>
  <c r="U22" i="14"/>
  <c r="S22" i="14"/>
  <c r="Q22" i="14"/>
  <c r="O22" i="14"/>
  <c r="M22" i="14"/>
  <c r="W21" i="14"/>
  <c r="U21" i="14"/>
  <c r="S21" i="14"/>
  <c r="Q21" i="14"/>
  <c r="O21" i="14"/>
  <c r="M21" i="14"/>
  <c r="W20" i="14"/>
  <c r="U20" i="14"/>
  <c r="S20" i="14"/>
  <c r="Q20" i="14"/>
  <c r="O20" i="14"/>
  <c r="M20" i="14"/>
  <c r="W19" i="14"/>
  <c r="U19" i="14"/>
  <c r="S19" i="14"/>
  <c r="Q19" i="14"/>
  <c r="O19" i="14"/>
  <c r="M19" i="14"/>
  <c r="W18" i="14"/>
  <c r="U18" i="14"/>
  <c r="S18" i="14"/>
  <c r="Q18" i="14"/>
  <c r="O18" i="14"/>
  <c r="M18" i="14"/>
  <c r="W17" i="14"/>
  <c r="U17" i="14"/>
  <c r="S17" i="14"/>
  <c r="Q17" i="14"/>
  <c r="O17" i="14"/>
  <c r="M17" i="14"/>
  <c r="W16" i="14"/>
  <c r="U16" i="14"/>
  <c r="S16" i="14"/>
  <c r="Q16" i="14"/>
  <c r="O16" i="14"/>
  <c r="M16" i="14"/>
  <c r="W15" i="14"/>
  <c r="U15" i="14"/>
  <c r="S15" i="14"/>
  <c r="Q15" i="14"/>
  <c r="O15" i="14"/>
  <c r="M15" i="14"/>
  <c r="W14" i="14"/>
  <c r="U14" i="14"/>
  <c r="S14" i="14"/>
  <c r="Q14" i="14"/>
  <c r="O14" i="14"/>
  <c r="M14" i="14"/>
  <c r="W13" i="14"/>
  <c r="U13" i="14"/>
  <c r="S13" i="14"/>
  <c r="Q13" i="14"/>
  <c r="O13" i="14"/>
  <c r="M13" i="14"/>
  <c r="W12" i="14"/>
  <c r="U12" i="14"/>
  <c r="S12" i="14"/>
  <c r="Q12" i="14"/>
  <c r="O12" i="14"/>
  <c r="M12" i="14"/>
  <c r="W11" i="14"/>
  <c r="U11" i="14"/>
  <c r="S11" i="14"/>
  <c r="Q11" i="14"/>
  <c r="O11" i="14"/>
  <c r="M11" i="14"/>
  <c r="W10" i="14"/>
  <c r="U10" i="14"/>
  <c r="S10" i="14"/>
  <c r="Q10" i="14"/>
  <c r="O10" i="14"/>
  <c r="M10" i="14"/>
  <c r="W9" i="14"/>
  <c r="U9" i="14"/>
  <c r="S9" i="14"/>
  <c r="Q9" i="14"/>
  <c r="O9" i="14"/>
  <c r="M9" i="14"/>
  <c r="W33" i="13"/>
  <c r="U33" i="13"/>
  <c r="S33" i="13"/>
  <c r="Q33" i="13"/>
  <c r="O33" i="13"/>
  <c r="M33" i="13"/>
  <c r="W31" i="13"/>
  <c r="U31" i="13"/>
  <c r="S31" i="13"/>
  <c r="Q31" i="13"/>
  <c r="O31" i="13"/>
  <c r="M31" i="13"/>
  <c r="W30" i="13"/>
  <c r="U30" i="13"/>
  <c r="S30" i="13"/>
  <c r="Q30" i="13"/>
  <c r="O30" i="13"/>
  <c r="M30" i="13"/>
  <c r="W29" i="13"/>
  <c r="U29" i="13"/>
  <c r="S29" i="13"/>
  <c r="Q29" i="13"/>
  <c r="O29" i="13"/>
  <c r="M29" i="13"/>
  <c r="W28" i="13"/>
  <c r="U28" i="13"/>
  <c r="S28" i="13"/>
  <c r="Q28" i="13"/>
  <c r="O28" i="13"/>
  <c r="M28" i="13"/>
  <c r="W27" i="13"/>
  <c r="U27" i="13"/>
  <c r="S27" i="13"/>
  <c r="Q27" i="13"/>
  <c r="O27" i="13"/>
  <c r="M27" i="13"/>
  <c r="W26" i="13"/>
  <c r="U26" i="13"/>
  <c r="S26" i="13"/>
  <c r="Q26" i="13"/>
  <c r="O26" i="13"/>
  <c r="M26" i="13"/>
  <c r="W25" i="13"/>
  <c r="U25" i="13"/>
  <c r="S25" i="13"/>
  <c r="Q25" i="13"/>
  <c r="O25" i="13"/>
  <c r="M25" i="13"/>
  <c r="W24" i="13"/>
  <c r="U24" i="13"/>
  <c r="S24" i="13"/>
  <c r="Q24" i="13"/>
  <c r="O24" i="13"/>
  <c r="M24" i="13"/>
  <c r="W23" i="13"/>
  <c r="U23" i="13"/>
  <c r="S23" i="13"/>
  <c r="Q23" i="13"/>
  <c r="O23" i="13"/>
  <c r="M23" i="13"/>
  <c r="W22" i="13"/>
  <c r="U22" i="13"/>
  <c r="S22" i="13"/>
  <c r="Q22" i="13"/>
  <c r="O22" i="13"/>
  <c r="M22" i="13"/>
  <c r="W21" i="13"/>
  <c r="U21" i="13"/>
  <c r="S21" i="13"/>
  <c r="Q21" i="13"/>
  <c r="O21" i="13"/>
  <c r="M21" i="13"/>
  <c r="W20" i="13"/>
  <c r="U20" i="13"/>
  <c r="S20" i="13"/>
  <c r="Q20" i="13"/>
  <c r="O20" i="13"/>
  <c r="M20" i="13"/>
  <c r="W19" i="13"/>
  <c r="U19" i="13"/>
  <c r="S19" i="13"/>
  <c r="Q19" i="13"/>
  <c r="O19" i="13"/>
  <c r="M19" i="13"/>
  <c r="W18" i="13"/>
  <c r="U18" i="13"/>
  <c r="S18" i="13"/>
  <c r="Q18" i="13"/>
  <c r="O18" i="13"/>
  <c r="M18" i="13"/>
  <c r="W17" i="13"/>
  <c r="U17" i="13"/>
  <c r="S17" i="13"/>
  <c r="Q17" i="13"/>
  <c r="O17" i="13"/>
  <c r="M17" i="13"/>
  <c r="W16" i="13"/>
  <c r="U16" i="13"/>
  <c r="S16" i="13"/>
  <c r="Q16" i="13"/>
  <c r="O16" i="13"/>
  <c r="M16" i="13"/>
  <c r="W15" i="13"/>
  <c r="U15" i="13"/>
  <c r="S15" i="13"/>
  <c r="Q15" i="13"/>
  <c r="O15" i="13"/>
  <c r="M15" i="13"/>
  <c r="W14" i="13"/>
  <c r="U14" i="13"/>
  <c r="S14" i="13"/>
  <c r="Q14" i="13"/>
  <c r="O14" i="13"/>
  <c r="M14" i="13"/>
  <c r="W13" i="13"/>
  <c r="U13" i="13"/>
  <c r="S13" i="13"/>
  <c r="Q13" i="13"/>
  <c r="O13" i="13"/>
  <c r="M13" i="13"/>
  <c r="W12" i="13"/>
  <c r="U12" i="13"/>
  <c r="S12" i="13"/>
  <c r="Q12" i="13"/>
  <c r="O12" i="13"/>
  <c r="M12" i="13"/>
  <c r="W11" i="13"/>
  <c r="U11" i="13"/>
  <c r="S11" i="13"/>
  <c r="Q11" i="13"/>
  <c r="O11" i="13"/>
  <c r="M11" i="13"/>
  <c r="W10" i="13"/>
  <c r="U10" i="13"/>
  <c r="S10" i="13"/>
  <c r="Q10" i="13"/>
  <c r="O10" i="13"/>
  <c r="M10" i="13"/>
  <c r="W9" i="13"/>
  <c r="U9" i="13"/>
  <c r="S9" i="13"/>
  <c r="Q9" i="13"/>
  <c r="O9" i="13"/>
  <c r="M9" i="13"/>
  <c r="W33" i="12"/>
  <c r="U33" i="12"/>
  <c r="S33" i="12"/>
  <c r="Q33" i="12"/>
  <c r="O33" i="12"/>
  <c r="M33" i="12"/>
  <c r="W31" i="12"/>
  <c r="U31" i="12"/>
  <c r="S31" i="12"/>
  <c r="Q31" i="12"/>
  <c r="O31" i="12"/>
  <c r="M31" i="12"/>
  <c r="W30" i="12"/>
  <c r="U30" i="12"/>
  <c r="S30" i="12"/>
  <c r="Q30" i="12"/>
  <c r="O30" i="12"/>
  <c r="M30" i="12"/>
  <c r="W29" i="12"/>
  <c r="U29" i="12"/>
  <c r="S29" i="12"/>
  <c r="Q29" i="12"/>
  <c r="O29" i="12"/>
  <c r="M29" i="12"/>
  <c r="W28" i="12"/>
  <c r="U28" i="12"/>
  <c r="S28" i="12"/>
  <c r="Q28" i="12"/>
  <c r="O28" i="12"/>
  <c r="M28" i="12"/>
  <c r="W27" i="12"/>
  <c r="U27" i="12"/>
  <c r="S27" i="12"/>
  <c r="Q27" i="12"/>
  <c r="O27" i="12"/>
  <c r="M27" i="12"/>
  <c r="W26" i="12"/>
  <c r="U26" i="12"/>
  <c r="S26" i="12"/>
  <c r="Q26" i="12"/>
  <c r="O26" i="12"/>
  <c r="M26" i="12"/>
  <c r="W25" i="12"/>
  <c r="U25" i="12"/>
  <c r="S25" i="12"/>
  <c r="Q25" i="12"/>
  <c r="O25" i="12"/>
  <c r="M25" i="12"/>
  <c r="W24" i="12"/>
  <c r="U24" i="12"/>
  <c r="S24" i="12"/>
  <c r="Q24" i="12"/>
  <c r="O24" i="12"/>
  <c r="M24" i="12"/>
  <c r="W23" i="12"/>
  <c r="U23" i="12"/>
  <c r="S23" i="12"/>
  <c r="Q23" i="12"/>
  <c r="O23" i="12"/>
  <c r="M23" i="12"/>
  <c r="W22" i="12"/>
  <c r="U22" i="12"/>
  <c r="S22" i="12"/>
  <c r="Q22" i="12"/>
  <c r="O22" i="12"/>
  <c r="M22" i="12"/>
  <c r="W21" i="12"/>
  <c r="U21" i="12"/>
  <c r="S21" i="12"/>
  <c r="Q21" i="12"/>
  <c r="O21" i="12"/>
  <c r="M21" i="12"/>
  <c r="W20" i="12"/>
  <c r="U20" i="12"/>
  <c r="S20" i="12"/>
  <c r="Q20" i="12"/>
  <c r="O20" i="12"/>
  <c r="M20" i="12"/>
  <c r="W19" i="12"/>
  <c r="U19" i="12"/>
  <c r="S19" i="12"/>
  <c r="Q19" i="12"/>
  <c r="O19" i="12"/>
  <c r="M19" i="12"/>
  <c r="W18" i="12"/>
  <c r="U18" i="12"/>
  <c r="S18" i="12"/>
  <c r="Q18" i="12"/>
  <c r="O18" i="12"/>
  <c r="M18" i="12"/>
  <c r="W17" i="12"/>
  <c r="U17" i="12"/>
  <c r="S17" i="12"/>
  <c r="Q17" i="12"/>
  <c r="O17" i="12"/>
  <c r="M17" i="12"/>
  <c r="W16" i="12"/>
  <c r="U16" i="12"/>
  <c r="S16" i="12"/>
  <c r="Q16" i="12"/>
  <c r="O16" i="12"/>
  <c r="M16" i="12"/>
  <c r="W15" i="12"/>
  <c r="U15" i="12"/>
  <c r="S15" i="12"/>
  <c r="Q15" i="12"/>
  <c r="O15" i="12"/>
  <c r="M15" i="12"/>
  <c r="W14" i="12"/>
  <c r="U14" i="12"/>
  <c r="S14" i="12"/>
  <c r="Q14" i="12"/>
  <c r="O14" i="12"/>
  <c r="M14" i="12"/>
  <c r="W13" i="12"/>
  <c r="U13" i="12"/>
  <c r="S13" i="12"/>
  <c r="Q13" i="12"/>
  <c r="O13" i="12"/>
  <c r="M13" i="12"/>
  <c r="W12" i="12"/>
  <c r="U12" i="12"/>
  <c r="S12" i="12"/>
  <c r="Q12" i="12"/>
  <c r="O12" i="12"/>
  <c r="M12" i="12"/>
  <c r="W11" i="12"/>
  <c r="U11" i="12"/>
  <c r="S11" i="12"/>
  <c r="Q11" i="12"/>
  <c r="O11" i="12"/>
  <c r="M11" i="12"/>
  <c r="W10" i="12"/>
  <c r="U10" i="12"/>
  <c r="S10" i="12"/>
  <c r="Q10" i="12"/>
  <c r="O10" i="12"/>
  <c r="M10" i="12"/>
  <c r="W9" i="12"/>
  <c r="U9" i="12"/>
  <c r="S9" i="12"/>
  <c r="Q9" i="12"/>
  <c r="O9" i="12"/>
  <c r="M9" i="12"/>
  <c r="W33" i="11"/>
  <c r="U33" i="11"/>
  <c r="S33" i="11"/>
  <c r="Q33" i="11"/>
  <c r="O33" i="11"/>
  <c r="M33" i="11"/>
  <c r="W31" i="11"/>
  <c r="U31" i="11"/>
  <c r="S31" i="11"/>
  <c r="Q31" i="11"/>
  <c r="O31" i="11"/>
  <c r="M31" i="11"/>
  <c r="W30" i="11"/>
  <c r="U30" i="11"/>
  <c r="S30" i="11"/>
  <c r="Q30" i="11"/>
  <c r="O30" i="11"/>
  <c r="M30" i="11"/>
  <c r="W29" i="11"/>
  <c r="U29" i="11"/>
  <c r="S29" i="11"/>
  <c r="Q29" i="11"/>
  <c r="O29" i="11"/>
  <c r="M29" i="11"/>
  <c r="W28" i="11"/>
  <c r="U28" i="11"/>
  <c r="S28" i="11"/>
  <c r="Q28" i="11"/>
  <c r="O28" i="11"/>
  <c r="M28" i="11"/>
  <c r="W27" i="11"/>
  <c r="U27" i="11"/>
  <c r="S27" i="11"/>
  <c r="Q27" i="11"/>
  <c r="O27" i="11"/>
  <c r="M27" i="11"/>
  <c r="W26" i="11"/>
  <c r="U26" i="11"/>
  <c r="S26" i="11"/>
  <c r="Q26" i="11"/>
  <c r="O26" i="11"/>
  <c r="M26" i="11"/>
  <c r="W25" i="11"/>
  <c r="U25" i="11"/>
  <c r="S25" i="11"/>
  <c r="Q25" i="11"/>
  <c r="O25" i="11"/>
  <c r="M25" i="11"/>
  <c r="W24" i="11"/>
  <c r="U24" i="11"/>
  <c r="S24" i="11"/>
  <c r="Q24" i="11"/>
  <c r="O24" i="11"/>
  <c r="M24" i="11"/>
  <c r="W23" i="11"/>
  <c r="U23" i="11"/>
  <c r="S23" i="11"/>
  <c r="Q23" i="11"/>
  <c r="O23" i="11"/>
  <c r="M23" i="11"/>
  <c r="W22" i="11"/>
  <c r="U22" i="11"/>
  <c r="S22" i="11"/>
  <c r="Q22" i="11"/>
  <c r="O22" i="11"/>
  <c r="M22" i="11"/>
  <c r="W21" i="11"/>
  <c r="U21" i="11"/>
  <c r="S21" i="11"/>
  <c r="Q21" i="11"/>
  <c r="O21" i="11"/>
  <c r="M21" i="11"/>
  <c r="W20" i="11"/>
  <c r="U20" i="11"/>
  <c r="S20" i="11"/>
  <c r="Q20" i="11"/>
  <c r="O20" i="11"/>
  <c r="M20" i="11"/>
  <c r="W19" i="11"/>
  <c r="U19" i="11"/>
  <c r="S19" i="11"/>
  <c r="Q19" i="11"/>
  <c r="O19" i="11"/>
  <c r="M19" i="11"/>
  <c r="W18" i="11"/>
  <c r="U18" i="11"/>
  <c r="S18" i="11"/>
  <c r="Q18" i="11"/>
  <c r="O18" i="11"/>
  <c r="M18" i="11"/>
  <c r="W17" i="11"/>
  <c r="U17" i="11"/>
  <c r="S17" i="11"/>
  <c r="Q17" i="11"/>
  <c r="O17" i="11"/>
  <c r="M17" i="11"/>
  <c r="W16" i="11"/>
  <c r="U16" i="11"/>
  <c r="S16" i="11"/>
  <c r="Q16" i="11"/>
  <c r="O16" i="11"/>
  <c r="M16" i="11"/>
  <c r="W15" i="11"/>
  <c r="U15" i="11"/>
  <c r="S15" i="11"/>
  <c r="Q15" i="11"/>
  <c r="O15" i="11"/>
  <c r="M15" i="11"/>
  <c r="W14" i="11"/>
  <c r="U14" i="11"/>
  <c r="S14" i="11"/>
  <c r="Q14" i="11"/>
  <c r="O14" i="11"/>
  <c r="M14" i="11"/>
  <c r="W13" i="11"/>
  <c r="U13" i="11"/>
  <c r="S13" i="11"/>
  <c r="Q13" i="11"/>
  <c r="O13" i="11"/>
  <c r="M13" i="11"/>
  <c r="W12" i="11"/>
  <c r="U12" i="11"/>
  <c r="S12" i="11"/>
  <c r="Q12" i="11"/>
  <c r="O12" i="11"/>
  <c r="M12" i="11"/>
  <c r="W11" i="11"/>
  <c r="U11" i="11"/>
  <c r="S11" i="11"/>
  <c r="Q11" i="11"/>
  <c r="O11" i="11"/>
  <c r="M11" i="11"/>
  <c r="W10" i="11"/>
  <c r="U10" i="11"/>
  <c r="S10" i="11"/>
  <c r="Q10" i="11"/>
  <c r="O10" i="11"/>
  <c r="M10" i="11"/>
  <c r="W9" i="11"/>
  <c r="U9" i="11"/>
  <c r="S9" i="11"/>
  <c r="Q9" i="11"/>
  <c r="O9" i="11"/>
  <c r="M9" i="11"/>
  <c r="W33" i="10"/>
  <c r="U33" i="10"/>
  <c r="S33" i="10"/>
  <c r="Q33" i="10"/>
  <c r="O33" i="10"/>
  <c r="M33" i="10"/>
  <c r="W31" i="10"/>
  <c r="U31" i="10"/>
  <c r="S31" i="10"/>
  <c r="Q31" i="10"/>
  <c r="O31" i="10"/>
  <c r="M31" i="10"/>
  <c r="W30" i="10"/>
  <c r="U30" i="10"/>
  <c r="S30" i="10"/>
  <c r="Q30" i="10"/>
  <c r="O30" i="10"/>
  <c r="M30" i="10"/>
  <c r="W29" i="10"/>
  <c r="U29" i="10"/>
  <c r="S29" i="10"/>
  <c r="Q29" i="10"/>
  <c r="O29" i="10"/>
  <c r="M29" i="10"/>
  <c r="W28" i="10"/>
  <c r="U28" i="10"/>
  <c r="S28" i="10"/>
  <c r="Q28" i="10"/>
  <c r="O28" i="10"/>
  <c r="M28" i="10"/>
  <c r="W27" i="10"/>
  <c r="U27" i="10"/>
  <c r="S27" i="10"/>
  <c r="Q27" i="10"/>
  <c r="O27" i="10"/>
  <c r="M27" i="10"/>
  <c r="W26" i="10"/>
  <c r="U26" i="10"/>
  <c r="S26" i="10"/>
  <c r="Q26" i="10"/>
  <c r="O26" i="10"/>
  <c r="M26" i="10"/>
  <c r="W25" i="10"/>
  <c r="U25" i="10"/>
  <c r="S25" i="10"/>
  <c r="Q25" i="10"/>
  <c r="O25" i="10"/>
  <c r="M25" i="10"/>
  <c r="W24" i="10"/>
  <c r="U24" i="10"/>
  <c r="S24" i="10"/>
  <c r="Q24" i="10"/>
  <c r="O24" i="10"/>
  <c r="M24" i="10"/>
  <c r="W23" i="10"/>
  <c r="U23" i="10"/>
  <c r="S23" i="10"/>
  <c r="Q23" i="10"/>
  <c r="O23" i="10"/>
  <c r="M23" i="10"/>
  <c r="W22" i="10"/>
  <c r="U22" i="10"/>
  <c r="S22" i="10"/>
  <c r="Q22" i="10"/>
  <c r="O22" i="10"/>
  <c r="M22" i="10"/>
  <c r="W21" i="10"/>
  <c r="U21" i="10"/>
  <c r="S21" i="10"/>
  <c r="Q21" i="10"/>
  <c r="O21" i="10"/>
  <c r="M21" i="10"/>
  <c r="W20" i="10"/>
  <c r="U20" i="10"/>
  <c r="S20" i="10"/>
  <c r="Q20" i="10"/>
  <c r="O20" i="10"/>
  <c r="M20" i="10"/>
  <c r="W19" i="10"/>
  <c r="U19" i="10"/>
  <c r="S19" i="10"/>
  <c r="Q19" i="10"/>
  <c r="O19" i="10"/>
  <c r="M19" i="10"/>
  <c r="W18" i="10"/>
  <c r="U18" i="10"/>
  <c r="S18" i="10"/>
  <c r="Q18" i="10"/>
  <c r="O18" i="10"/>
  <c r="M18" i="10"/>
  <c r="W17" i="10"/>
  <c r="U17" i="10"/>
  <c r="S17" i="10"/>
  <c r="Q17" i="10"/>
  <c r="O17" i="10"/>
  <c r="M17" i="10"/>
  <c r="W16" i="10"/>
  <c r="U16" i="10"/>
  <c r="S16" i="10"/>
  <c r="Q16" i="10"/>
  <c r="O16" i="10"/>
  <c r="M16" i="10"/>
  <c r="W15" i="10"/>
  <c r="U15" i="10"/>
  <c r="S15" i="10"/>
  <c r="Q15" i="10"/>
  <c r="O15" i="10"/>
  <c r="M15" i="10"/>
  <c r="W14" i="10"/>
  <c r="U14" i="10"/>
  <c r="S14" i="10"/>
  <c r="Q14" i="10"/>
  <c r="O14" i="10"/>
  <c r="M14" i="10"/>
  <c r="W13" i="10"/>
  <c r="U13" i="10"/>
  <c r="S13" i="10"/>
  <c r="Q13" i="10"/>
  <c r="O13" i="10"/>
  <c r="M13" i="10"/>
  <c r="W12" i="10"/>
  <c r="U12" i="10"/>
  <c r="S12" i="10"/>
  <c r="Q12" i="10"/>
  <c r="O12" i="10"/>
  <c r="M12" i="10"/>
  <c r="W11" i="10"/>
  <c r="U11" i="10"/>
  <c r="S11" i="10"/>
  <c r="Q11" i="10"/>
  <c r="O11" i="10"/>
  <c r="M11" i="10"/>
  <c r="W10" i="10"/>
  <c r="U10" i="10"/>
  <c r="S10" i="10"/>
  <c r="Q10" i="10"/>
  <c r="O10" i="10"/>
  <c r="M10" i="10"/>
  <c r="W9" i="10"/>
  <c r="U9" i="10"/>
  <c r="S9" i="10"/>
  <c r="Q9" i="10"/>
  <c r="O9" i="10"/>
  <c r="M9" i="10"/>
  <c r="W33" i="9"/>
  <c r="U33" i="9"/>
  <c r="S33" i="9"/>
  <c r="Q33" i="9"/>
  <c r="O33" i="9"/>
  <c r="M33" i="9"/>
  <c r="W31" i="9"/>
  <c r="U31" i="9"/>
  <c r="S31" i="9"/>
  <c r="Q31" i="9"/>
  <c r="O31" i="9"/>
  <c r="M31" i="9"/>
  <c r="W30" i="9"/>
  <c r="U30" i="9"/>
  <c r="S30" i="9"/>
  <c r="Q30" i="9"/>
  <c r="O30" i="9"/>
  <c r="M30" i="9"/>
  <c r="W29" i="9"/>
  <c r="U29" i="9"/>
  <c r="S29" i="9"/>
  <c r="Q29" i="9"/>
  <c r="O29" i="9"/>
  <c r="M29" i="9"/>
  <c r="W28" i="9"/>
  <c r="U28" i="9"/>
  <c r="S28" i="9"/>
  <c r="Q28" i="9"/>
  <c r="O28" i="9"/>
  <c r="M28" i="9"/>
  <c r="W27" i="9"/>
  <c r="U27" i="9"/>
  <c r="S27" i="9"/>
  <c r="Q27" i="9"/>
  <c r="O27" i="9"/>
  <c r="M27" i="9"/>
  <c r="W26" i="9"/>
  <c r="U26" i="9"/>
  <c r="S26" i="9"/>
  <c r="Q26" i="9"/>
  <c r="O26" i="9"/>
  <c r="M26" i="9"/>
  <c r="W25" i="9"/>
  <c r="U25" i="9"/>
  <c r="S25" i="9"/>
  <c r="Q25" i="9"/>
  <c r="O25" i="9"/>
  <c r="M25" i="9"/>
  <c r="W24" i="9"/>
  <c r="U24" i="9"/>
  <c r="S24" i="9"/>
  <c r="Q24" i="9"/>
  <c r="O24" i="9"/>
  <c r="M24" i="9"/>
  <c r="W23" i="9"/>
  <c r="U23" i="9"/>
  <c r="S23" i="9"/>
  <c r="Q23" i="9"/>
  <c r="O23" i="9"/>
  <c r="M23" i="9"/>
  <c r="W22" i="9"/>
  <c r="U22" i="9"/>
  <c r="S22" i="9"/>
  <c r="Q22" i="9"/>
  <c r="O22" i="9"/>
  <c r="M22" i="9"/>
  <c r="W21" i="9"/>
  <c r="U21" i="9"/>
  <c r="S21" i="9"/>
  <c r="Q21" i="9"/>
  <c r="O21" i="9"/>
  <c r="M21" i="9"/>
  <c r="W20" i="9"/>
  <c r="U20" i="9"/>
  <c r="S20" i="9"/>
  <c r="Q20" i="9"/>
  <c r="O20" i="9"/>
  <c r="M20" i="9"/>
  <c r="W19" i="9"/>
  <c r="U19" i="9"/>
  <c r="S19" i="9"/>
  <c r="Q19" i="9"/>
  <c r="O19" i="9"/>
  <c r="M19" i="9"/>
  <c r="W18" i="9"/>
  <c r="U18" i="9"/>
  <c r="S18" i="9"/>
  <c r="Q18" i="9"/>
  <c r="O18" i="9"/>
  <c r="M18" i="9"/>
  <c r="W17" i="9"/>
  <c r="U17" i="9"/>
  <c r="S17" i="9"/>
  <c r="Q17" i="9"/>
  <c r="O17" i="9"/>
  <c r="M17" i="9"/>
  <c r="W16" i="9"/>
  <c r="U16" i="9"/>
  <c r="S16" i="9"/>
  <c r="Q16" i="9"/>
  <c r="O16" i="9"/>
  <c r="M16" i="9"/>
  <c r="W15" i="9"/>
  <c r="U15" i="9"/>
  <c r="S15" i="9"/>
  <c r="Q15" i="9"/>
  <c r="O15" i="9"/>
  <c r="M15" i="9"/>
  <c r="W14" i="9"/>
  <c r="U14" i="9"/>
  <c r="S14" i="9"/>
  <c r="Q14" i="9"/>
  <c r="O14" i="9"/>
  <c r="M14" i="9"/>
  <c r="W13" i="9"/>
  <c r="U13" i="9"/>
  <c r="S13" i="9"/>
  <c r="Q13" i="9"/>
  <c r="O13" i="9"/>
  <c r="M13" i="9"/>
  <c r="W12" i="9"/>
  <c r="U12" i="9"/>
  <c r="S12" i="9"/>
  <c r="Q12" i="9"/>
  <c r="O12" i="9"/>
  <c r="M12" i="9"/>
  <c r="W11" i="9"/>
  <c r="U11" i="9"/>
  <c r="S11" i="9"/>
  <c r="Q11" i="9"/>
  <c r="O11" i="9"/>
  <c r="M11" i="9"/>
  <c r="W10" i="9"/>
  <c r="U10" i="9"/>
  <c r="S10" i="9"/>
  <c r="Q10" i="9"/>
  <c r="O10" i="9"/>
  <c r="M10" i="9"/>
  <c r="W9" i="9"/>
  <c r="U9" i="9"/>
  <c r="S9" i="9"/>
  <c r="Q9" i="9"/>
  <c r="O9" i="9"/>
  <c r="M9" i="9"/>
  <c r="W33" i="8"/>
  <c r="U33" i="8"/>
  <c r="S33" i="8"/>
  <c r="Q33" i="8"/>
  <c r="O33" i="8"/>
  <c r="M33" i="8"/>
  <c r="W31" i="8"/>
  <c r="U31" i="8"/>
  <c r="S31" i="8"/>
  <c r="Q31" i="8"/>
  <c r="O31" i="8"/>
  <c r="M31" i="8"/>
  <c r="W30" i="8"/>
  <c r="U30" i="8"/>
  <c r="S30" i="8"/>
  <c r="Q30" i="8"/>
  <c r="O30" i="8"/>
  <c r="M30" i="8"/>
  <c r="W29" i="8"/>
  <c r="U29" i="8"/>
  <c r="S29" i="8"/>
  <c r="Q29" i="8"/>
  <c r="O29" i="8"/>
  <c r="M29" i="8"/>
  <c r="W28" i="8"/>
  <c r="U28" i="8"/>
  <c r="S28" i="8"/>
  <c r="Q28" i="8"/>
  <c r="O28" i="8"/>
  <c r="M28" i="8"/>
  <c r="W27" i="8"/>
  <c r="U27" i="8"/>
  <c r="S27" i="8"/>
  <c r="Q27" i="8"/>
  <c r="O27" i="8"/>
  <c r="M27" i="8"/>
  <c r="W26" i="8"/>
  <c r="U26" i="8"/>
  <c r="S26" i="8"/>
  <c r="Q26" i="8"/>
  <c r="O26" i="8"/>
  <c r="M26" i="8"/>
  <c r="W25" i="8"/>
  <c r="U25" i="8"/>
  <c r="S25" i="8"/>
  <c r="Q25" i="8"/>
  <c r="O25" i="8"/>
  <c r="M25" i="8"/>
  <c r="W24" i="8"/>
  <c r="U24" i="8"/>
  <c r="S24" i="8"/>
  <c r="Q24" i="8"/>
  <c r="O24" i="8"/>
  <c r="M24" i="8"/>
  <c r="W23" i="8"/>
  <c r="U23" i="8"/>
  <c r="S23" i="8"/>
  <c r="Q23" i="8"/>
  <c r="O23" i="8"/>
  <c r="M23" i="8"/>
  <c r="W22" i="8"/>
  <c r="U22" i="8"/>
  <c r="S22" i="8"/>
  <c r="Q22" i="8"/>
  <c r="O22" i="8"/>
  <c r="M22" i="8"/>
  <c r="W21" i="8"/>
  <c r="U21" i="8"/>
  <c r="S21" i="8"/>
  <c r="Q21" i="8"/>
  <c r="O21" i="8"/>
  <c r="M21" i="8"/>
  <c r="W20" i="8"/>
  <c r="U20" i="8"/>
  <c r="S20" i="8"/>
  <c r="Q20" i="8"/>
  <c r="O20" i="8"/>
  <c r="M20" i="8"/>
  <c r="W19" i="8"/>
  <c r="U19" i="8"/>
  <c r="S19" i="8"/>
  <c r="Q19" i="8"/>
  <c r="O19" i="8"/>
  <c r="M19" i="8"/>
  <c r="W18" i="8"/>
  <c r="U18" i="8"/>
  <c r="S18" i="8"/>
  <c r="Q18" i="8"/>
  <c r="O18" i="8"/>
  <c r="M18" i="8"/>
  <c r="W17" i="8"/>
  <c r="U17" i="8"/>
  <c r="S17" i="8"/>
  <c r="Q17" i="8"/>
  <c r="O17" i="8"/>
  <c r="M17" i="8"/>
  <c r="W16" i="8"/>
  <c r="U16" i="8"/>
  <c r="S16" i="8"/>
  <c r="Q16" i="8"/>
  <c r="O16" i="8"/>
  <c r="M16" i="8"/>
  <c r="W15" i="8"/>
  <c r="U15" i="8"/>
  <c r="S15" i="8"/>
  <c r="Q15" i="8"/>
  <c r="O15" i="8"/>
  <c r="M15" i="8"/>
  <c r="W14" i="8"/>
  <c r="U14" i="8"/>
  <c r="S14" i="8"/>
  <c r="Q14" i="8"/>
  <c r="O14" i="8"/>
  <c r="M14" i="8"/>
  <c r="W13" i="8"/>
  <c r="U13" i="8"/>
  <c r="S13" i="8"/>
  <c r="Q13" i="8"/>
  <c r="O13" i="8"/>
  <c r="M13" i="8"/>
  <c r="W12" i="8"/>
  <c r="U12" i="8"/>
  <c r="S12" i="8"/>
  <c r="Q12" i="8"/>
  <c r="O12" i="8"/>
  <c r="M12" i="8"/>
  <c r="W11" i="8"/>
  <c r="U11" i="8"/>
  <c r="S11" i="8"/>
  <c r="Q11" i="8"/>
  <c r="O11" i="8"/>
  <c r="M11" i="8"/>
  <c r="W10" i="8"/>
  <c r="U10" i="8"/>
  <c r="S10" i="8"/>
  <c r="Q10" i="8"/>
  <c r="O10" i="8"/>
  <c r="M10" i="8"/>
  <c r="W9" i="8"/>
  <c r="U9" i="8"/>
  <c r="S9" i="8"/>
  <c r="Q9" i="8"/>
  <c r="O9" i="8"/>
  <c r="M9" i="8"/>
  <c r="W33" i="7"/>
  <c r="U33" i="7"/>
  <c r="S33" i="7"/>
  <c r="Q33" i="7"/>
  <c r="O33" i="7"/>
  <c r="M33" i="7"/>
  <c r="W31" i="7"/>
  <c r="U31" i="7"/>
  <c r="S31" i="7"/>
  <c r="Q31" i="7"/>
  <c r="O31" i="7"/>
  <c r="M31" i="7"/>
  <c r="W30" i="7"/>
  <c r="U30" i="7"/>
  <c r="S30" i="7"/>
  <c r="Q30" i="7"/>
  <c r="O30" i="7"/>
  <c r="M30" i="7"/>
  <c r="W29" i="7"/>
  <c r="U29" i="7"/>
  <c r="S29" i="7"/>
  <c r="Q29" i="7"/>
  <c r="O29" i="7"/>
  <c r="M29" i="7"/>
  <c r="W28" i="7"/>
  <c r="U28" i="7"/>
  <c r="S28" i="7"/>
  <c r="Q28" i="7"/>
  <c r="O28" i="7"/>
  <c r="M28" i="7"/>
  <c r="W27" i="7"/>
  <c r="U27" i="7"/>
  <c r="S27" i="7"/>
  <c r="Q27" i="7"/>
  <c r="O27" i="7"/>
  <c r="M27" i="7"/>
  <c r="W26" i="7"/>
  <c r="U26" i="7"/>
  <c r="S26" i="7"/>
  <c r="Q26" i="7"/>
  <c r="O26" i="7"/>
  <c r="M26" i="7"/>
  <c r="W25" i="7"/>
  <c r="U25" i="7"/>
  <c r="S25" i="7"/>
  <c r="Q25" i="7"/>
  <c r="O25" i="7"/>
  <c r="M25" i="7"/>
  <c r="W24" i="7"/>
  <c r="U24" i="7"/>
  <c r="S24" i="7"/>
  <c r="Q24" i="7"/>
  <c r="O24" i="7"/>
  <c r="M24" i="7"/>
  <c r="W23" i="7"/>
  <c r="U23" i="7"/>
  <c r="S23" i="7"/>
  <c r="Q23" i="7"/>
  <c r="O23" i="7"/>
  <c r="M23" i="7"/>
  <c r="W22" i="7"/>
  <c r="U22" i="7"/>
  <c r="S22" i="7"/>
  <c r="Q22" i="7"/>
  <c r="O22" i="7"/>
  <c r="M22" i="7"/>
  <c r="W21" i="7"/>
  <c r="U21" i="7"/>
  <c r="S21" i="7"/>
  <c r="Q21" i="7"/>
  <c r="O21" i="7"/>
  <c r="M21" i="7"/>
  <c r="W20" i="7"/>
  <c r="U20" i="7"/>
  <c r="S20" i="7"/>
  <c r="Q20" i="7"/>
  <c r="O20" i="7"/>
  <c r="M20" i="7"/>
  <c r="W19" i="7"/>
  <c r="U19" i="7"/>
  <c r="S19" i="7"/>
  <c r="Q19" i="7"/>
  <c r="O19" i="7"/>
  <c r="M19" i="7"/>
  <c r="W18" i="7"/>
  <c r="U18" i="7"/>
  <c r="S18" i="7"/>
  <c r="Q18" i="7"/>
  <c r="O18" i="7"/>
  <c r="M18" i="7"/>
  <c r="W17" i="7"/>
  <c r="U17" i="7"/>
  <c r="S17" i="7"/>
  <c r="Q17" i="7"/>
  <c r="O17" i="7"/>
  <c r="M17" i="7"/>
  <c r="W16" i="7"/>
  <c r="U16" i="7"/>
  <c r="S16" i="7"/>
  <c r="Q16" i="7"/>
  <c r="O16" i="7"/>
  <c r="M16" i="7"/>
  <c r="W15" i="7"/>
  <c r="U15" i="7"/>
  <c r="S15" i="7"/>
  <c r="Q15" i="7"/>
  <c r="O15" i="7"/>
  <c r="M15" i="7"/>
  <c r="W14" i="7"/>
  <c r="U14" i="7"/>
  <c r="S14" i="7"/>
  <c r="Q14" i="7"/>
  <c r="O14" i="7"/>
  <c r="M14" i="7"/>
  <c r="W13" i="7"/>
  <c r="U13" i="7"/>
  <c r="S13" i="7"/>
  <c r="Q13" i="7"/>
  <c r="O13" i="7"/>
  <c r="M13" i="7"/>
  <c r="W12" i="7"/>
  <c r="U12" i="7"/>
  <c r="S12" i="7"/>
  <c r="Q12" i="7"/>
  <c r="O12" i="7"/>
  <c r="M12" i="7"/>
  <c r="W11" i="7"/>
  <c r="U11" i="7"/>
  <c r="S11" i="7"/>
  <c r="Q11" i="7"/>
  <c r="O11" i="7"/>
  <c r="M11" i="7"/>
  <c r="W10" i="7"/>
  <c r="U10" i="7"/>
  <c r="S10" i="7"/>
  <c r="Q10" i="7"/>
  <c r="O10" i="7"/>
  <c r="M10" i="7"/>
  <c r="W9" i="7"/>
  <c r="U9" i="7"/>
  <c r="S9" i="7"/>
  <c r="Q9" i="7"/>
  <c r="O9" i="7"/>
  <c r="M9" i="7"/>
  <c r="W33" i="6"/>
  <c r="U33" i="6"/>
  <c r="S33" i="6"/>
  <c r="Q33" i="6"/>
  <c r="O33" i="6"/>
  <c r="M33" i="6"/>
  <c r="W31" i="6"/>
  <c r="U31" i="6"/>
  <c r="S31" i="6"/>
  <c r="Q31" i="6"/>
  <c r="O31" i="6"/>
  <c r="M31" i="6"/>
  <c r="W30" i="6"/>
  <c r="U30" i="6"/>
  <c r="S30" i="6"/>
  <c r="Q30" i="6"/>
  <c r="O30" i="6"/>
  <c r="M30" i="6"/>
  <c r="W29" i="6"/>
  <c r="U29" i="6"/>
  <c r="S29" i="6"/>
  <c r="Q29" i="6"/>
  <c r="O29" i="6"/>
  <c r="M29" i="6"/>
  <c r="W28" i="6"/>
  <c r="U28" i="6"/>
  <c r="S28" i="6"/>
  <c r="Q28" i="6"/>
  <c r="O28" i="6"/>
  <c r="M28" i="6"/>
  <c r="W27" i="6"/>
  <c r="U27" i="6"/>
  <c r="S27" i="6"/>
  <c r="Q27" i="6"/>
  <c r="O27" i="6"/>
  <c r="M27" i="6"/>
  <c r="W26" i="6"/>
  <c r="U26" i="6"/>
  <c r="S26" i="6"/>
  <c r="Q26" i="6"/>
  <c r="O26" i="6"/>
  <c r="M26" i="6"/>
  <c r="W25" i="6"/>
  <c r="U25" i="6"/>
  <c r="S25" i="6"/>
  <c r="Q25" i="6"/>
  <c r="O25" i="6"/>
  <c r="M25" i="6"/>
  <c r="W24" i="6"/>
  <c r="U24" i="6"/>
  <c r="S24" i="6"/>
  <c r="Q24" i="6"/>
  <c r="O24" i="6"/>
  <c r="M24" i="6"/>
  <c r="W23" i="6"/>
  <c r="U23" i="6"/>
  <c r="S23" i="6"/>
  <c r="Q23" i="6"/>
  <c r="O23" i="6"/>
  <c r="M23" i="6"/>
  <c r="W22" i="6"/>
  <c r="U22" i="6"/>
  <c r="S22" i="6"/>
  <c r="Q22" i="6"/>
  <c r="O22" i="6"/>
  <c r="M22" i="6"/>
  <c r="W21" i="6"/>
  <c r="U21" i="6"/>
  <c r="S21" i="6"/>
  <c r="Q21" i="6"/>
  <c r="O21" i="6"/>
  <c r="M21" i="6"/>
  <c r="W20" i="6"/>
  <c r="U20" i="6"/>
  <c r="S20" i="6"/>
  <c r="Q20" i="6"/>
  <c r="O20" i="6"/>
  <c r="M20" i="6"/>
  <c r="W19" i="6"/>
  <c r="U19" i="6"/>
  <c r="S19" i="6"/>
  <c r="Q19" i="6"/>
  <c r="O19" i="6"/>
  <c r="M19" i="6"/>
  <c r="W18" i="6"/>
  <c r="U18" i="6"/>
  <c r="S18" i="6"/>
  <c r="Q18" i="6"/>
  <c r="O18" i="6"/>
  <c r="M18" i="6"/>
  <c r="W17" i="6"/>
  <c r="U17" i="6"/>
  <c r="S17" i="6"/>
  <c r="Q17" i="6"/>
  <c r="O17" i="6"/>
  <c r="M17" i="6"/>
  <c r="W16" i="6"/>
  <c r="U16" i="6"/>
  <c r="S16" i="6"/>
  <c r="Q16" i="6"/>
  <c r="O16" i="6"/>
  <c r="M16" i="6"/>
  <c r="W15" i="6"/>
  <c r="U15" i="6"/>
  <c r="S15" i="6"/>
  <c r="Q15" i="6"/>
  <c r="O15" i="6"/>
  <c r="M15" i="6"/>
  <c r="W14" i="6"/>
  <c r="U14" i="6"/>
  <c r="S14" i="6"/>
  <c r="Q14" i="6"/>
  <c r="O14" i="6"/>
  <c r="M14" i="6"/>
  <c r="W13" i="6"/>
  <c r="U13" i="6"/>
  <c r="S13" i="6"/>
  <c r="Q13" i="6"/>
  <c r="O13" i="6"/>
  <c r="M13" i="6"/>
  <c r="W12" i="6"/>
  <c r="U12" i="6"/>
  <c r="S12" i="6"/>
  <c r="Q12" i="6"/>
  <c r="O12" i="6"/>
  <c r="M12" i="6"/>
  <c r="W11" i="6"/>
  <c r="U11" i="6"/>
  <c r="S11" i="6"/>
  <c r="Q11" i="6"/>
  <c r="O11" i="6"/>
  <c r="M11" i="6"/>
  <c r="W10" i="6"/>
  <c r="U10" i="6"/>
  <c r="S10" i="6"/>
  <c r="Q10" i="6"/>
  <c r="O10" i="6"/>
  <c r="M10" i="6"/>
  <c r="W9" i="6"/>
  <c r="U9" i="6"/>
  <c r="S9" i="6"/>
  <c r="Q9" i="6"/>
  <c r="O9" i="6"/>
  <c r="M9" i="6"/>
  <c r="W33" i="5"/>
  <c r="U33" i="5"/>
  <c r="S33" i="5"/>
  <c r="Q33" i="5"/>
  <c r="O33" i="5"/>
  <c r="M33" i="5"/>
  <c r="W31" i="5"/>
  <c r="U31" i="5"/>
  <c r="S31" i="5"/>
  <c r="Q31" i="5"/>
  <c r="O31" i="5"/>
  <c r="M31" i="5"/>
  <c r="W30" i="5"/>
  <c r="U30" i="5"/>
  <c r="S30" i="5"/>
  <c r="Q30" i="5"/>
  <c r="O30" i="5"/>
  <c r="M30" i="5"/>
  <c r="W29" i="5"/>
  <c r="U29" i="5"/>
  <c r="S29" i="5"/>
  <c r="Q29" i="5"/>
  <c r="O29" i="5"/>
  <c r="M29" i="5"/>
  <c r="W28" i="5"/>
  <c r="U28" i="5"/>
  <c r="S28" i="5"/>
  <c r="Q28" i="5"/>
  <c r="O28" i="5"/>
  <c r="M28" i="5"/>
  <c r="W27" i="5"/>
  <c r="U27" i="5"/>
  <c r="S27" i="5"/>
  <c r="Q27" i="5"/>
  <c r="O27" i="5"/>
  <c r="M27" i="5"/>
  <c r="W26" i="5"/>
  <c r="U26" i="5"/>
  <c r="S26" i="5"/>
  <c r="Q26" i="5"/>
  <c r="O26" i="5"/>
  <c r="M26" i="5"/>
  <c r="W25" i="5"/>
  <c r="U25" i="5"/>
  <c r="S25" i="5"/>
  <c r="Q25" i="5"/>
  <c r="O25" i="5"/>
  <c r="M25" i="5"/>
  <c r="W24" i="5"/>
  <c r="U24" i="5"/>
  <c r="S24" i="5"/>
  <c r="Q24" i="5"/>
  <c r="O24" i="5"/>
  <c r="M24" i="5"/>
  <c r="W23" i="5"/>
  <c r="U23" i="5"/>
  <c r="S23" i="5"/>
  <c r="Q23" i="5"/>
  <c r="O23" i="5"/>
  <c r="M23" i="5"/>
  <c r="W22" i="5"/>
  <c r="U22" i="5"/>
  <c r="S22" i="5"/>
  <c r="Q22" i="5"/>
  <c r="O22" i="5"/>
  <c r="M22" i="5"/>
  <c r="W21" i="5"/>
  <c r="U21" i="5"/>
  <c r="S21" i="5"/>
  <c r="Q21" i="5"/>
  <c r="O21" i="5"/>
  <c r="M21" i="5"/>
  <c r="W20" i="5"/>
  <c r="U20" i="5"/>
  <c r="S20" i="5"/>
  <c r="Q20" i="5"/>
  <c r="O20" i="5"/>
  <c r="M20" i="5"/>
  <c r="W19" i="5"/>
  <c r="U19" i="5"/>
  <c r="S19" i="5"/>
  <c r="Q19" i="5"/>
  <c r="O19" i="5"/>
  <c r="M19" i="5"/>
  <c r="W18" i="5"/>
  <c r="U18" i="5"/>
  <c r="S18" i="5"/>
  <c r="Q18" i="5"/>
  <c r="O18" i="5"/>
  <c r="M18" i="5"/>
  <c r="W17" i="5"/>
  <c r="U17" i="5"/>
  <c r="S17" i="5"/>
  <c r="Q17" i="5"/>
  <c r="O17" i="5"/>
  <c r="M17" i="5"/>
  <c r="W16" i="5"/>
  <c r="U16" i="5"/>
  <c r="S16" i="5"/>
  <c r="Q16" i="5"/>
  <c r="O16" i="5"/>
  <c r="M16" i="5"/>
  <c r="W15" i="5"/>
  <c r="U15" i="5"/>
  <c r="S15" i="5"/>
  <c r="Q15" i="5"/>
  <c r="O15" i="5"/>
  <c r="M15" i="5"/>
  <c r="W14" i="5"/>
  <c r="U14" i="5"/>
  <c r="S14" i="5"/>
  <c r="Q14" i="5"/>
  <c r="O14" i="5"/>
  <c r="M14" i="5"/>
  <c r="W13" i="5"/>
  <c r="U13" i="5"/>
  <c r="S13" i="5"/>
  <c r="Q13" i="5"/>
  <c r="O13" i="5"/>
  <c r="M13" i="5"/>
  <c r="W12" i="5"/>
  <c r="U12" i="5"/>
  <c r="S12" i="5"/>
  <c r="Q12" i="5"/>
  <c r="O12" i="5"/>
  <c r="M12" i="5"/>
  <c r="W11" i="5"/>
  <c r="U11" i="5"/>
  <c r="S11" i="5"/>
  <c r="Q11" i="5"/>
  <c r="O11" i="5"/>
  <c r="M11" i="5"/>
  <c r="W10" i="5"/>
  <c r="U10" i="5"/>
  <c r="S10" i="5"/>
  <c r="Q10" i="5"/>
  <c r="O10" i="5"/>
  <c r="M10" i="5"/>
  <c r="W9" i="5"/>
  <c r="U9" i="5"/>
  <c r="S9" i="5"/>
  <c r="Q9" i="5"/>
  <c r="O9" i="5"/>
  <c r="M9" i="5"/>
  <c r="D32" i="89" l="1"/>
  <c r="D35" i="89" s="1"/>
  <c r="E9" i="89"/>
  <c r="E32" i="89" s="1"/>
  <c r="E35" i="89" s="1"/>
  <c r="S36" i="89" s="1"/>
  <c r="S37" i="89" s="1"/>
  <c r="D9" i="88" a="1"/>
  <c r="D9" i="88" s="1"/>
  <c r="U36" i="89"/>
  <c r="U37" i="89" s="1"/>
  <c r="D32" i="91"/>
  <c r="D35" i="91" s="1"/>
  <c r="E9" i="91"/>
  <c r="E32" i="91" s="1"/>
  <c r="E35" i="91" s="1"/>
  <c r="Q36" i="91" s="1"/>
  <c r="Q37" i="91" s="1"/>
  <c r="O32" i="87"/>
  <c r="O34" i="87" s="1"/>
  <c r="O35" i="87" s="1"/>
  <c r="Q32" i="24"/>
  <c r="W32" i="6"/>
  <c r="W34" i="6" s="1"/>
  <c r="W35" i="6" s="1"/>
  <c r="Q32" i="87"/>
  <c r="Q34" i="87" s="1"/>
  <c r="Q35" i="87" s="1"/>
  <c r="S32" i="34"/>
  <c r="S34" i="34" s="1"/>
  <c r="S35" i="34" s="1"/>
  <c r="W32" i="42"/>
  <c r="W34" i="42" s="1"/>
  <c r="W35" i="42" s="1"/>
  <c r="W32" i="53"/>
  <c r="W34" i="53" s="1"/>
  <c r="W35" i="53" s="1"/>
  <c r="O32" i="24"/>
  <c r="O34" i="24" s="1"/>
  <c r="W32" i="9"/>
  <c r="W34" i="9" s="1"/>
  <c r="U32" i="20"/>
  <c r="U34" i="20" s="1"/>
  <c r="U35" i="20" s="1"/>
  <c r="Q32" i="20"/>
  <c r="Q34" i="20" s="1"/>
  <c r="M32" i="87"/>
  <c r="M34" i="87" s="1"/>
  <c r="M35" i="87" s="1"/>
  <c r="W32" i="25"/>
  <c r="W34" i="25" s="1"/>
  <c r="U32" i="17"/>
  <c r="S32" i="49"/>
  <c r="S34" i="49" s="1"/>
  <c r="S35" i="49" s="1"/>
  <c r="Q32" i="47"/>
  <c r="Q34" i="47" s="1"/>
  <c r="Q35" i="47" s="1"/>
  <c r="M32" i="47"/>
  <c r="M34" i="47" s="1"/>
  <c r="O32" i="50"/>
  <c r="O34" i="50" s="1"/>
  <c r="O35" i="50" s="1"/>
  <c r="W32" i="14"/>
  <c r="W34" i="14" s="1"/>
  <c r="W35" i="14" s="1"/>
  <c r="W32" i="65"/>
  <c r="W34" i="65" s="1"/>
  <c r="W35" i="65" s="1"/>
  <c r="U32" i="76"/>
  <c r="U34" i="76" s="1"/>
  <c r="U35" i="76" s="1"/>
  <c r="O32" i="77"/>
  <c r="O34" i="77" s="1"/>
  <c r="O35" i="77" s="1"/>
  <c r="S32" i="87"/>
  <c r="S34" i="87" s="1"/>
  <c r="S35" i="87" s="1"/>
  <c r="Q32" i="16"/>
  <c r="Q34" i="16" s="1"/>
  <c r="U32" i="71"/>
  <c r="Q32" i="71"/>
  <c r="Q34" i="71" s="1"/>
  <c r="Q35" i="71" s="1"/>
  <c r="O32" i="72"/>
  <c r="O32" i="74"/>
  <c r="O34" i="74" s="1"/>
  <c r="O35" i="74" s="1"/>
  <c r="U32" i="87"/>
  <c r="U34" i="87" s="1"/>
  <c r="U35" i="87" s="1"/>
  <c r="U32" i="7"/>
  <c r="W32" i="87"/>
  <c r="W34" i="87" s="1"/>
  <c r="W35" i="87" s="1"/>
  <c r="U32" i="43"/>
  <c r="U34" i="43" s="1"/>
  <c r="U35" i="43" s="1"/>
  <c r="Q32" i="43"/>
  <c r="Q34" i="43" s="1"/>
  <c r="Q35" i="43" s="1"/>
  <c r="Q32" i="37"/>
  <c r="M32" i="39"/>
  <c r="M34" i="39" s="1"/>
  <c r="M35" i="39" s="1"/>
  <c r="W32" i="40"/>
  <c r="W34" i="40" s="1"/>
  <c r="W35" i="40" s="1"/>
  <c r="S32" i="42"/>
  <c r="S34" i="42" s="1"/>
  <c r="S35" i="42" s="1"/>
  <c r="W32" i="52"/>
  <c r="W34" i="52" s="1"/>
  <c r="W35" i="52" s="1"/>
  <c r="O32" i="66"/>
  <c r="M32" i="42"/>
  <c r="M34" i="42" s="1"/>
  <c r="M35" i="42" s="1"/>
  <c r="W32" i="27"/>
  <c r="W34" i="27" s="1"/>
  <c r="W35" i="27" s="1"/>
  <c r="S32" i="63"/>
  <c r="S34" i="63" s="1"/>
  <c r="S35" i="63" s="1"/>
  <c r="Q32" i="70"/>
  <c r="W32" i="11"/>
  <c r="W34" i="11" s="1"/>
  <c r="W35" i="11" s="1"/>
  <c r="S32" i="26"/>
  <c r="S34" i="26" s="1"/>
  <c r="S35" i="26" s="1"/>
  <c r="U32" i="63"/>
  <c r="Q32" i="63"/>
  <c r="O32" i="25"/>
  <c r="U32" i="42"/>
  <c r="U34" i="42" s="1"/>
  <c r="W32" i="45"/>
  <c r="W34" i="45" s="1"/>
  <c r="U32" i="58"/>
  <c r="U34" i="58" s="1"/>
  <c r="U35" i="58" s="1"/>
  <c r="U32" i="23"/>
  <c r="U34" i="23" s="1"/>
  <c r="Q32" i="54"/>
  <c r="Q34" i="54" s="1"/>
  <c r="Q35" i="54" s="1"/>
  <c r="W32" i="86"/>
  <c r="W34" i="86" s="1"/>
  <c r="W35" i="86" s="1"/>
  <c r="S32" i="15"/>
  <c r="S34" i="15" s="1"/>
  <c r="S35" i="15" s="1"/>
  <c r="M32" i="16"/>
  <c r="M34" i="16" s="1"/>
  <c r="M35" i="16" s="1"/>
  <c r="O32" i="28"/>
  <c r="O34" i="28" s="1"/>
  <c r="O35" i="28" s="1"/>
  <c r="O32" i="31"/>
  <c r="O34" i="31" s="1"/>
  <c r="O35" i="31" s="1"/>
  <c r="W32" i="44"/>
  <c r="W34" i="44" s="1"/>
  <c r="W35" i="44" s="1"/>
  <c r="O32" i="47"/>
  <c r="O34" i="47" s="1"/>
  <c r="O35" i="47" s="1"/>
  <c r="S32" i="51"/>
  <c r="S34" i="51" s="1"/>
  <c r="O32" i="56"/>
  <c r="O34" i="56" s="1"/>
  <c r="O35" i="56" s="1"/>
  <c r="O32" i="58"/>
  <c r="O34" i="58" s="1"/>
  <c r="O35" i="58" s="1"/>
  <c r="O32" i="61"/>
  <c r="Q32" i="62"/>
  <c r="Q34" i="62" s="1"/>
  <c r="Q35" i="62" s="1"/>
  <c r="M32" i="68"/>
  <c r="M34" i="68" s="1"/>
  <c r="M35" i="68" s="1"/>
  <c r="O32" i="71"/>
  <c r="O34" i="71" s="1"/>
  <c r="O35" i="71" s="1"/>
  <c r="W32" i="75"/>
  <c r="W34" i="75" s="1"/>
  <c r="W35" i="75" s="1"/>
  <c r="Q32" i="76"/>
  <c r="Q34" i="76" s="1"/>
  <c r="Q35" i="76" s="1"/>
  <c r="M32" i="83"/>
  <c r="M34" i="83" s="1"/>
  <c r="M35" i="83" s="1"/>
  <c r="Q32" i="83"/>
  <c r="Q34" i="83" s="1"/>
  <c r="Q35" i="83" s="1"/>
  <c r="S32" i="84"/>
  <c r="S34" i="84" s="1"/>
  <c r="S35" i="84" s="1"/>
  <c r="S32" i="86"/>
  <c r="S34" i="86" s="1"/>
  <c r="S35" i="86" s="1"/>
  <c r="O32" i="86"/>
  <c r="O34" i="86" s="1"/>
  <c r="O35" i="86" s="1"/>
  <c r="O32" i="8"/>
  <c r="O34" i="8" s="1"/>
  <c r="O35" i="8" s="1"/>
  <c r="M32" i="17"/>
  <c r="M34" i="17" s="1"/>
  <c r="M35" i="17" s="1"/>
  <c r="U32" i="31"/>
  <c r="U34" i="31" s="1"/>
  <c r="U35" i="31" s="1"/>
  <c r="S32" i="45"/>
  <c r="S34" i="45" s="1"/>
  <c r="S35" i="45" s="1"/>
  <c r="W32" i="70"/>
  <c r="W32" i="72"/>
  <c r="W34" i="72" s="1"/>
  <c r="W35" i="72" s="1"/>
  <c r="S32" i="76"/>
  <c r="M32" i="82"/>
  <c r="M34" i="82" s="1"/>
  <c r="M35" i="82" s="1"/>
  <c r="M32" i="84"/>
  <c r="M34" i="84" s="1"/>
  <c r="M35" i="84" s="1"/>
  <c r="O32" i="85"/>
  <c r="O34" i="85" s="1"/>
  <c r="O35" i="85" s="1"/>
  <c r="U32" i="86"/>
  <c r="U34" i="86" s="1"/>
  <c r="U35" i="86" s="1"/>
  <c r="W32" i="5"/>
  <c r="W34" i="5" s="1"/>
  <c r="W35" i="5" s="1"/>
  <c r="O32" i="16"/>
  <c r="O34" i="16" s="1"/>
  <c r="O35" i="16" s="1"/>
  <c r="S32" i="22"/>
  <c r="S34" i="22" s="1"/>
  <c r="S35" i="22" s="1"/>
  <c r="M32" i="21"/>
  <c r="M34" i="21" s="1"/>
  <c r="O32" i="23"/>
  <c r="O34" i="23" s="1"/>
  <c r="O35" i="23" s="1"/>
  <c r="M32" i="30"/>
  <c r="M34" i="30" s="1"/>
  <c r="Q32" i="30"/>
  <c r="S32" i="33"/>
  <c r="S34" i="33" s="1"/>
  <c r="O32" i="33"/>
  <c r="O34" i="33" s="1"/>
  <c r="O35" i="33" s="1"/>
  <c r="W32" i="33"/>
  <c r="W34" i="33" s="1"/>
  <c r="W35" i="33" s="1"/>
  <c r="O32" i="35"/>
  <c r="O34" i="35" s="1"/>
  <c r="O35" i="35" s="1"/>
  <c r="W32" i="37"/>
  <c r="W34" i="37" s="1"/>
  <c r="W35" i="37" s="1"/>
  <c r="W32" i="41"/>
  <c r="W34" i="41" s="1"/>
  <c r="W35" i="41" s="1"/>
  <c r="S32" i="43"/>
  <c r="S34" i="43" s="1"/>
  <c r="S35" i="43" s="1"/>
  <c r="M32" i="46"/>
  <c r="M34" i="46" s="1"/>
  <c r="M35" i="46" s="1"/>
  <c r="U32" i="46"/>
  <c r="U34" i="46" s="1"/>
  <c r="U35" i="46" s="1"/>
  <c r="M32" i="63"/>
  <c r="M34" i="63" s="1"/>
  <c r="M35" i="63" s="1"/>
  <c r="S32" i="66"/>
  <c r="S34" i="66" s="1"/>
  <c r="S35" i="66" s="1"/>
  <c r="U32" i="70"/>
  <c r="U34" i="70" s="1"/>
  <c r="U35" i="70" s="1"/>
  <c r="S32" i="71"/>
  <c r="S34" i="71" s="1"/>
  <c r="S35" i="71" s="1"/>
  <c r="S32" i="73"/>
  <c r="Q32" i="21"/>
  <c r="Q34" i="21" s="1"/>
  <c r="U32" i="9"/>
  <c r="U34" i="9" s="1"/>
  <c r="U35" i="9" s="1"/>
  <c r="U32" i="24"/>
  <c r="U34" i="24" s="1"/>
  <c r="M32" i="25"/>
  <c r="M34" i="25" s="1"/>
  <c r="M35" i="25" s="1"/>
  <c r="U32" i="28"/>
  <c r="U34" i="28" s="1"/>
  <c r="U35" i="28" s="1"/>
  <c r="Q32" i="28"/>
  <c r="Q34" i="28" s="1"/>
  <c r="Q35" i="28" s="1"/>
  <c r="M32" i="28"/>
  <c r="M34" i="28" s="1"/>
  <c r="M35" i="28" s="1"/>
  <c r="S32" i="38"/>
  <c r="S34" i="38" s="1"/>
  <c r="S35" i="38" s="1"/>
  <c r="O32" i="46"/>
  <c r="O34" i="46" s="1"/>
  <c r="O35" i="46" s="1"/>
  <c r="S32" i="46"/>
  <c r="S34" i="46" s="1"/>
  <c r="S35" i="46" s="1"/>
  <c r="O32" i="48"/>
  <c r="O34" i="48" s="1"/>
  <c r="O35" i="48" s="1"/>
  <c r="S32" i="53"/>
  <c r="S34" i="53" s="1"/>
  <c r="S35" i="53" s="1"/>
  <c r="Q32" i="58"/>
  <c r="Q34" i="58" s="1"/>
  <c r="W32" i="60"/>
  <c r="W34" i="60" s="1"/>
  <c r="W35" i="60" s="1"/>
  <c r="O32" i="65"/>
  <c r="O34" i="65" s="1"/>
  <c r="O35" i="65" s="1"/>
  <c r="O32" i="10"/>
  <c r="W32" i="10"/>
  <c r="W34" i="10" s="1"/>
  <c r="W35" i="10" s="1"/>
  <c r="S32" i="10"/>
  <c r="S34" i="10" s="1"/>
  <c r="S35" i="10" s="1"/>
  <c r="W32" i="28"/>
  <c r="W34" i="28" s="1"/>
  <c r="W35" i="28" s="1"/>
  <c r="Q32" i="29"/>
  <c r="Q34" i="29" s="1"/>
  <c r="Q35" i="29" s="1"/>
  <c r="M32" i="36"/>
  <c r="M34" i="36" s="1"/>
  <c r="M35" i="36" s="1"/>
  <c r="U32" i="36"/>
  <c r="U34" i="36" s="1"/>
  <c r="U35" i="36" s="1"/>
  <c r="Q32" i="36"/>
  <c r="Q34" i="36" s="1"/>
  <c r="Q35" i="36" s="1"/>
  <c r="M32" i="38"/>
  <c r="M34" i="38" s="1"/>
  <c r="M35" i="38" s="1"/>
  <c r="Q32" i="46"/>
  <c r="Q34" i="46" s="1"/>
  <c r="Q35" i="46" s="1"/>
  <c r="W32" i="61"/>
  <c r="W34" i="61" s="1"/>
  <c r="W35" i="61" s="1"/>
  <c r="S32" i="61"/>
  <c r="S34" i="61" s="1"/>
  <c r="S35" i="61" s="1"/>
  <c r="Q32" i="65"/>
  <c r="Q34" i="65" s="1"/>
  <c r="Q35" i="65" s="1"/>
  <c r="W32" i="66"/>
  <c r="W34" i="66" s="1"/>
  <c r="Q32" i="72"/>
  <c r="Q34" i="72" s="1"/>
  <c r="Q35" i="72" s="1"/>
  <c r="M32" i="72"/>
  <c r="M34" i="72" s="1"/>
  <c r="M35" i="72" s="1"/>
  <c r="Q32" i="77"/>
  <c r="Q34" i="77" s="1"/>
  <c r="Q35" i="77" s="1"/>
  <c r="S32" i="82"/>
  <c r="S34" i="82" s="1"/>
  <c r="S35" i="82" s="1"/>
  <c r="M32" i="9"/>
  <c r="M34" i="9" s="1"/>
  <c r="M35" i="9" s="1"/>
  <c r="O32" i="38"/>
  <c r="O34" i="38" s="1"/>
  <c r="O35" i="38" s="1"/>
  <c r="W32" i="38"/>
  <c r="W34" i="38" s="1"/>
  <c r="W35" i="38" s="1"/>
  <c r="U32" i="39"/>
  <c r="U34" i="39" s="1"/>
  <c r="U35" i="39" s="1"/>
  <c r="M32" i="44"/>
  <c r="M34" i="44" s="1"/>
  <c r="S32" i="62"/>
  <c r="S34" i="62" s="1"/>
  <c r="S35" i="62" s="1"/>
  <c r="O32" i="62"/>
  <c r="O34" i="62" s="1"/>
  <c r="O35" i="62" s="1"/>
  <c r="M32" i="73"/>
  <c r="M34" i="73" s="1"/>
  <c r="M35" i="73" s="1"/>
  <c r="U32" i="73"/>
  <c r="U34" i="73" s="1"/>
  <c r="U35" i="73" s="1"/>
  <c r="O32" i="83"/>
  <c r="O34" i="83" s="1"/>
  <c r="O35" i="83" s="1"/>
  <c r="W32" i="16"/>
  <c r="W34" i="16" s="1"/>
  <c r="W35" i="16" s="1"/>
  <c r="M32" i="23"/>
  <c r="M34" i="23" s="1"/>
  <c r="M32" i="5"/>
  <c r="M34" i="5" s="1"/>
  <c r="M35" i="5" s="1"/>
  <c r="O32" i="6"/>
  <c r="S32" i="7"/>
  <c r="S34" i="7" s="1"/>
  <c r="M32" i="8"/>
  <c r="M34" i="8" s="1"/>
  <c r="W32" i="23"/>
  <c r="W34" i="23" s="1"/>
  <c r="W35" i="23" s="1"/>
  <c r="S32" i="27"/>
  <c r="S34" i="27" s="1"/>
  <c r="S35" i="27" s="1"/>
  <c r="U32" i="34"/>
  <c r="U34" i="34" s="1"/>
  <c r="U35" i="34" s="1"/>
  <c r="Q32" i="38"/>
  <c r="Q34" i="38" s="1"/>
  <c r="Q35" i="38" s="1"/>
  <c r="O32" i="43"/>
  <c r="O34" i="43" s="1"/>
  <c r="O35" i="43" s="1"/>
  <c r="O32" i="44"/>
  <c r="O34" i="44" s="1"/>
  <c r="O35" i="44" s="1"/>
  <c r="Q32" i="45"/>
  <c r="Q34" i="45" s="1"/>
  <c r="Q35" i="45" s="1"/>
  <c r="M32" i="45"/>
  <c r="M34" i="45" s="1"/>
  <c r="M35" i="45" s="1"/>
  <c r="U32" i="45"/>
  <c r="U34" i="45" s="1"/>
  <c r="U35" i="45" s="1"/>
  <c r="U32" i="48"/>
  <c r="U34" i="48" s="1"/>
  <c r="W32" i="56"/>
  <c r="W34" i="56" s="1"/>
  <c r="W35" i="56" s="1"/>
  <c r="M32" i="60"/>
  <c r="M34" i="60" s="1"/>
  <c r="M35" i="60" s="1"/>
  <c r="Q32" i="74"/>
  <c r="Q34" i="74" s="1"/>
  <c r="Q35" i="74" s="1"/>
  <c r="U32" i="74"/>
  <c r="U34" i="74" s="1"/>
  <c r="U35" i="74" s="1"/>
  <c r="S32" i="5"/>
  <c r="S32" i="18"/>
  <c r="S34" i="18" s="1"/>
  <c r="S35" i="18" s="1"/>
  <c r="W32" i="20"/>
  <c r="W34" i="20" s="1"/>
  <c r="W35" i="20" s="1"/>
  <c r="S32" i="12"/>
  <c r="S34" i="12" s="1"/>
  <c r="S35" i="12" s="1"/>
  <c r="O32" i="30"/>
  <c r="O34" i="30" s="1"/>
  <c r="W32" i="34"/>
  <c r="W34" i="34" s="1"/>
  <c r="W35" i="34" s="1"/>
  <c r="Q32" i="35"/>
  <c r="Q34" i="35" s="1"/>
  <c r="Q35" i="35" s="1"/>
  <c r="M32" i="37"/>
  <c r="M34" i="37" s="1"/>
  <c r="M35" i="37" s="1"/>
  <c r="U32" i="37"/>
  <c r="S32" i="40"/>
  <c r="S34" i="40" s="1"/>
  <c r="S35" i="40" s="1"/>
  <c r="O32" i="40"/>
  <c r="O34" i="40" s="1"/>
  <c r="O35" i="40" s="1"/>
  <c r="M32" i="41"/>
  <c r="M34" i="41" s="1"/>
  <c r="M35" i="41" s="1"/>
  <c r="W32" i="48"/>
  <c r="W34" i="48" s="1"/>
  <c r="W35" i="48" s="1"/>
  <c r="U32" i="61"/>
  <c r="U34" i="61" s="1"/>
  <c r="U35" i="61" s="1"/>
  <c r="O32" i="63"/>
  <c r="O34" i="63" s="1"/>
  <c r="O35" i="63" s="1"/>
  <c r="M32" i="75"/>
  <c r="M34" i="75" s="1"/>
  <c r="Q32" i="75"/>
  <c r="Q34" i="75" s="1"/>
  <c r="Q35" i="75" s="1"/>
  <c r="W32" i="77"/>
  <c r="W34" i="77" s="1"/>
  <c r="W35" i="77" s="1"/>
  <c r="S32" i="77"/>
  <c r="S34" i="77" s="1"/>
  <c r="S35" i="77" s="1"/>
  <c r="Q32" i="10"/>
  <c r="Q34" i="10" s="1"/>
  <c r="Q35" i="10" s="1"/>
  <c r="M32" i="10"/>
  <c r="M34" i="10" s="1"/>
  <c r="M35" i="10" s="1"/>
  <c r="S32" i="11"/>
  <c r="S34" i="11" s="1"/>
  <c r="S35" i="11" s="1"/>
  <c r="Q32" i="9"/>
  <c r="Q34" i="9" s="1"/>
  <c r="Q35" i="9" s="1"/>
  <c r="O32" i="20"/>
  <c r="O34" i="20" s="1"/>
  <c r="O35" i="20" s="1"/>
  <c r="O32" i="13"/>
  <c r="O34" i="13" s="1"/>
  <c r="O35" i="13" s="1"/>
  <c r="S32" i="17"/>
  <c r="S34" i="17" s="1"/>
  <c r="S35" i="17" s="1"/>
  <c r="U32" i="18"/>
  <c r="U34" i="18" s="1"/>
  <c r="U35" i="18" s="1"/>
  <c r="M32" i="22"/>
  <c r="M34" i="22" s="1"/>
  <c r="M35" i="22" s="1"/>
  <c r="U32" i="22"/>
  <c r="U34" i="22" s="1"/>
  <c r="U35" i="22" s="1"/>
  <c r="Q32" i="22"/>
  <c r="Q34" i="22" s="1"/>
  <c r="Q35" i="22" s="1"/>
  <c r="S32" i="23"/>
  <c r="S34" i="23" s="1"/>
  <c r="S32" i="24"/>
  <c r="S34" i="24" s="1"/>
  <c r="S35" i="24" s="1"/>
  <c r="S32" i="31"/>
  <c r="S34" i="31" s="1"/>
  <c r="S35" i="31" s="1"/>
  <c r="S32" i="35"/>
  <c r="S34" i="35" s="1"/>
  <c r="S35" i="35" s="1"/>
  <c r="U32" i="40"/>
  <c r="U34" i="40" s="1"/>
  <c r="U35" i="40" s="1"/>
  <c r="O32" i="41"/>
  <c r="O34" i="41" s="1"/>
  <c r="O35" i="41" s="1"/>
  <c r="S32" i="44"/>
  <c r="S34" i="44" s="1"/>
  <c r="U32" i="53"/>
  <c r="U34" i="53" s="1"/>
  <c r="U35" i="53" s="1"/>
  <c r="M32" i="62"/>
  <c r="M34" i="62" s="1"/>
  <c r="U32" i="62"/>
  <c r="U34" i="62" s="1"/>
  <c r="U35" i="62" s="1"/>
  <c r="W32" i="64"/>
  <c r="W34" i="64" s="1"/>
  <c r="W35" i="64" s="1"/>
  <c r="Q32" i="68"/>
  <c r="Q34" i="68" s="1"/>
  <c r="Q35" i="68" s="1"/>
  <c r="M32" i="76"/>
  <c r="M34" i="76" s="1"/>
  <c r="M35" i="76" s="1"/>
  <c r="S32" i="78"/>
  <c r="S34" i="78" s="1"/>
  <c r="S35" i="78" s="1"/>
  <c r="O32" i="78"/>
  <c r="O34" i="78" s="1"/>
  <c r="O35" i="78" s="1"/>
  <c r="U32" i="83"/>
  <c r="U34" i="83" s="1"/>
  <c r="U35" i="83" s="1"/>
  <c r="U32" i="26"/>
  <c r="U34" i="26" s="1"/>
  <c r="U35" i="26" s="1"/>
  <c r="Q32" i="27"/>
  <c r="Q34" i="27" s="1"/>
  <c r="Q35" i="27" s="1"/>
  <c r="M32" i="33"/>
  <c r="M34" i="33" s="1"/>
  <c r="U32" i="56"/>
  <c r="U34" i="56" s="1"/>
  <c r="U35" i="56" s="1"/>
  <c r="M32" i="56"/>
  <c r="M34" i="56" s="1"/>
  <c r="M35" i="56" s="1"/>
  <c r="S32" i="65"/>
  <c r="S34" i="65" s="1"/>
  <c r="M32" i="69"/>
  <c r="M34" i="69" s="1"/>
  <c r="M35" i="69" s="1"/>
  <c r="U32" i="69"/>
  <c r="U34" i="69" s="1"/>
  <c r="U35" i="69" s="1"/>
  <c r="O32" i="79"/>
  <c r="O34" i="79" s="1"/>
  <c r="O35" i="79" s="1"/>
  <c r="Q32" i="84"/>
  <c r="Q34" i="84" s="1"/>
  <c r="Q35" i="84" s="1"/>
  <c r="Q32" i="8"/>
  <c r="Q34" i="8" s="1"/>
  <c r="Q35" i="8" s="1"/>
  <c r="U32" i="68"/>
  <c r="U34" i="68" s="1"/>
  <c r="W32" i="71"/>
  <c r="W34" i="71" s="1"/>
  <c r="W35" i="71" s="1"/>
  <c r="W32" i="73"/>
  <c r="W34" i="73" s="1"/>
  <c r="W35" i="73" s="1"/>
  <c r="U32" i="77"/>
  <c r="U34" i="77" s="1"/>
  <c r="U35" i="77" s="1"/>
  <c r="W32" i="78"/>
  <c r="W34" i="78" s="1"/>
  <c r="W32" i="80"/>
  <c r="W34" i="80" s="1"/>
  <c r="W35" i="80" s="1"/>
  <c r="M32" i="85"/>
  <c r="M34" i="85" s="1"/>
  <c r="M35" i="85" s="1"/>
  <c r="U32" i="85"/>
  <c r="U34" i="85" s="1"/>
  <c r="U35" i="85" s="1"/>
  <c r="U32" i="8"/>
  <c r="U34" i="8" s="1"/>
  <c r="U35" i="8" s="1"/>
  <c r="W32" i="8"/>
  <c r="W34" i="8" s="1"/>
  <c r="W35" i="8" s="1"/>
  <c r="O32" i="11"/>
  <c r="O34" i="11" s="1"/>
  <c r="O35" i="11" s="1"/>
  <c r="O32" i="12"/>
  <c r="O34" i="12" s="1"/>
  <c r="O35" i="12" s="1"/>
  <c r="M32" i="24"/>
  <c r="M34" i="24" s="1"/>
  <c r="M35" i="24" s="1"/>
  <c r="U32" i="27"/>
  <c r="U34" i="27" s="1"/>
  <c r="U35" i="27" s="1"/>
  <c r="S32" i="29"/>
  <c r="S34" i="29" s="1"/>
  <c r="S35" i="29" s="1"/>
  <c r="O32" i="29"/>
  <c r="O34" i="29" s="1"/>
  <c r="O35" i="29" s="1"/>
  <c r="W32" i="30"/>
  <c r="W34" i="30" s="1"/>
  <c r="W35" i="30" s="1"/>
  <c r="U32" i="35"/>
  <c r="U34" i="35" s="1"/>
  <c r="U35" i="35" s="1"/>
  <c r="O32" i="36"/>
  <c r="O34" i="36" s="1"/>
  <c r="O32" i="53"/>
  <c r="Q32" i="59"/>
  <c r="Q34" i="59" s="1"/>
  <c r="Q35" i="59" s="1"/>
  <c r="Q32" i="64"/>
  <c r="Q34" i="64" s="1"/>
  <c r="Q35" i="64" s="1"/>
  <c r="M32" i="64"/>
  <c r="M34" i="64" s="1"/>
  <c r="M35" i="64" s="1"/>
  <c r="M32" i="71"/>
  <c r="M34" i="71" s="1"/>
  <c r="M35" i="71" s="1"/>
  <c r="S32" i="72"/>
  <c r="S34" i="72" s="1"/>
  <c r="S35" i="72" s="1"/>
  <c r="S32" i="74"/>
  <c r="S34" i="74" s="1"/>
  <c r="S35" i="74" s="1"/>
  <c r="S32" i="79"/>
  <c r="M32" i="80"/>
  <c r="M34" i="80" s="1"/>
  <c r="U32" i="84"/>
  <c r="U34" i="84" s="1"/>
  <c r="U35" i="84" s="1"/>
  <c r="Q32" i="12"/>
  <c r="Q34" i="12" s="1"/>
  <c r="Q35" i="12" s="1"/>
  <c r="M32" i="20"/>
  <c r="M34" i="20" s="1"/>
  <c r="M35" i="20" s="1"/>
  <c r="W32" i="26"/>
  <c r="W34" i="26" s="1"/>
  <c r="W35" i="26" s="1"/>
  <c r="O32" i="27"/>
  <c r="O34" i="27" s="1"/>
  <c r="O35" i="27" s="1"/>
  <c r="S32" i="28"/>
  <c r="S34" i="28" s="1"/>
  <c r="S35" i="28" s="1"/>
  <c r="U32" i="29"/>
  <c r="U34" i="29" s="1"/>
  <c r="S32" i="39"/>
  <c r="S34" i="39" s="1"/>
  <c r="S35" i="39" s="1"/>
  <c r="O32" i="49"/>
  <c r="O34" i="49" s="1"/>
  <c r="M32" i="65"/>
  <c r="M34" i="65" s="1"/>
  <c r="M35" i="65" s="1"/>
  <c r="U32" i="65"/>
  <c r="U34" i="65" s="1"/>
  <c r="M32" i="70"/>
  <c r="M34" i="70" s="1"/>
  <c r="M35" i="70" s="1"/>
  <c r="U32" i="72"/>
  <c r="U34" i="72" s="1"/>
  <c r="O32" i="73"/>
  <c r="O34" i="73" s="1"/>
  <c r="O35" i="73" s="1"/>
  <c r="O32" i="75"/>
  <c r="O34" i="75" s="1"/>
  <c r="O35" i="75" s="1"/>
  <c r="U32" i="79"/>
  <c r="U34" i="79" s="1"/>
  <c r="U35" i="79" s="1"/>
  <c r="O32" i="80"/>
  <c r="O34" i="80" s="1"/>
  <c r="O35" i="80" s="1"/>
  <c r="W32" i="82"/>
  <c r="W34" i="82" s="1"/>
  <c r="W35" i="82" s="1"/>
  <c r="O32" i="82"/>
  <c r="O34" i="82" s="1"/>
  <c r="O35" i="82" s="1"/>
  <c r="Q32" i="85"/>
  <c r="Q34" i="85" s="1"/>
  <c r="Q35" i="85" s="1"/>
  <c r="U32" i="16"/>
  <c r="U34" i="16" s="1"/>
  <c r="U35" i="16" s="1"/>
  <c r="O32" i="5"/>
  <c r="O34" i="5" s="1"/>
  <c r="O35" i="5" s="1"/>
  <c r="M32" i="13"/>
  <c r="M34" i="13" s="1"/>
  <c r="M35" i="13" s="1"/>
  <c r="U32" i="15"/>
  <c r="U34" i="15" s="1"/>
  <c r="U35" i="15" s="1"/>
  <c r="O32" i="32"/>
  <c r="W32" i="36"/>
  <c r="U32" i="50"/>
  <c r="U34" i="50" s="1"/>
  <c r="Q32" i="66"/>
  <c r="Q34" i="66" s="1"/>
  <c r="U32" i="66"/>
  <c r="W32" i="68"/>
  <c r="W34" i="68" s="1"/>
  <c r="W35" i="68" s="1"/>
  <c r="W32" i="74"/>
  <c r="W34" i="74" s="1"/>
  <c r="W35" i="74" s="1"/>
  <c r="W32" i="76"/>
  <c r="W34" i="76" s="1"/>
  <c r="W35" i="76" s="1"/>
  <c r="W32" i="79"/>
  <c r="W34" i="79" s="1"/>
  <c r="W35" i="79" s="1"/>
  <c r="Q32" i="80"/>
  <c r="Q34" i="80" s="1"/>
  <c r="Q35" i="80" s="1"/>
  <c r="S32" i="83"/>
  <c r="S34" i="83" s="1"/>
  <c r="S35" i="83" s="1"/>
  <c r="M32" i="86"/>
  <c r="M34" i="86" s="1"/>
  <c r="M35" i="86" s="1"/>
  <c r="S32" i="9"/>
  <c r="S34" i="9" s="1"/>
  <c r="S35" i="9" s="1"/>
  <c r="M32" i="11"/>
  <c r="M34" i="11" s="1"/>
  <c r="M35" i="11" s="1"/>
  <c r="U32" i="11"/>
  <c r="U32" i="14"/>
  <c r="U34" i="14" s="1"/>
  <c r="U35" i="14" s="1"/>
  <c r="M32" i="29"/>
  <c r="M34" i="29" s="1"/>
  <c r="W32" i="31"/>
  <c r="Q32" i="32"/>
  <c r="Q34" i="32" s="1"/>
  <c r="Q35" i="32" s="1"/>
  <c r="S32" i="37"/>
  <c r="S34" i="37" s="1"/>
  <c r="S35" i="37" s="1"/>
  <c r="O32" i="39"/>
  <c r="O34" i="39" s="1"/>
  <c r="O35" i="39" s="1"/>
  <c r="W32" i="39"/>
  <c r="W32" i="69"/>
  <c r="W34" i="69" s="1"/>
  <c r="W35" i="69" s="1"/>
  <c r="S32" i="69"/>
  <c r="S34" i="69" s="1"/>
  <c r="S35" i="69" s="1"/>
  <c r="S32" i="75"/>
  <c r="S34" i="75" s="1"/>
  <c r="S35" i="75" s="1"/>
  <c r="S32" i="80"/>
  <c r="S34" i="80" s="1"/>
  <c r="S35" i="80" s="1"/>
  <c r="O32" i="84"/>
  <c r="O34" i="84" s="1"/>
  <c r="O35" i="84" s="1"/>
  <c r="W32" i="84"/>
  <c r="W34" i="84" s="1"/>
  <c r="W35" i="84" s="1"/>
  <c r="Q32" i="19"/>
  <c r="Q34" i="19" s="1"/>
  <c r="S32" i="30"/>
  <c r="S34" i="30" s="1"/>
  <c r="M32" i="31"/>
  <c r="S32" i="32"/>
  <c r="S34" i="32" s="1"/>
  <c r="S35" i="32" s="1"/>
  <c r="U32" i="44"/>
  <c r="U34" i="44" s="1"/>
  <c r="U35" i="44" s="1"/>
  <c r="Q32" i="44"/>
  <c r="Q34" i="44" s="1"/>
  <c r="Q35" i="44" s="1"/>
  <c r="Q32" i="51"/>
  <c r="Q34" i="51" s="1"/>
  <c r="Q35" i="51" s="1"/>
  <c r="M32" i="67"/>
  <c r="M34" i="67" s="1"/>
  <c r="Q32" i="67"/>
  <c r="Q34" i="67" s="1"/>
  <c r="Q35" i="67" s="1"/>
  <c r="S32" i="70"/>
  <c r="S34" i="70" s="1"/>
  <c r="S35" i="70" s="1"/>
  <c r="O32" i="70"/>
  <c r="O34" i="70" s="1"/>
  <c r="O35" i="70" s="1"/>
  <c r="O32" i="76"/>
  <c r="O34" i="76" s="1"/>
  <c r="O35" i="76" s="1"/>
  <c r="U32" i="80"/>
  <c r="U34" i="80" s="1"/>
  <c r="U35" i="80" s="1"/>
  <c r="Q32" i="82"/>
  <c r="Q34" i="82" s="1"/>
  <c r="Q35" i="82" s="1"/>
  <c r="U32" i="82"/>
  <c r="U34" i="82" s="1"/>
  <c r="U35" i="82" s="1"/>
  <c r="W32" i="83"/>
  <c r="W34" i="83" s="1"/>
  <c r="W35" i="83" s="1"/>
  <c r="W32" i="85"/>
  <c r="W34" i="85" s="1"/>
  <c r="W35" i="85" s="1"/>
  <c r="S32" i="85"/>
  <c r="Q32" i="86"/>
  <c r="U34" i="7"/>
  <c r="U35" i="7" s="1"/>
  <c r="Q34" i="30"/>
  <c r="Q35" i="30" s="1"/>
  <c r="Q32" i="7"/>
  <c r="O32" i="17"/>
  <c r="W32" i="17"/>
  <c r="W32" i="18"/>
  <c r="S32" i="20"/>
  <c r="Q34" i="37"/>
  <c r="Q35" i="37" s="1"/>
  <c r="O32" i="22"/>
  <c r="S32" i="8"/>
  <c r="U32" i="12"/>
  <c r="Q32" i="5"/>
  <c r="W32" i="7"/>
  <c r="Q35" i="21"/>
  <c r="S32" i="16"/>
  <c r="M32" i="12"/>
  <c r="M32" i="15"/>
  <c r="U32" i="5"/>
  <c r="O32" i="15"/>
  <c r="O34" i="25"/>
  <c r="O35" i="25" s="1"/>
  <c r="Q32" i="15"/>
  <c r="W32" i="22"/>
  <c r="O32" i="9"/>
  <c r="U32" i="10"/>
  <c r="Q32" i="13"/>
  <c r="M32" i="14"/>
  <c r="S32" i="19"/>
  <c r="M32" i="6"/>
  <c r="W32" i="12"/>
  <c r="U32" i="13"/>
  <c r="Q32" i="14"/>
  <c r="W32" i="15"/>
  <c r="U32" i="19"/>
  <c r="Q32" i="23"/>
  <c r="W32" i="13"/>
  <c r="S32" i="14"/>
  <c r="W32" i="19"/>
  <c r="W32" i="21"/>
  <c r="Q34" i="24"/>
  <c r="Q35" i="24" s="1"/>
  <c r="O32" i="18"/>
  <c r="U32" i="6"/>
  <c r="W32" i="29"/>
  <c r="Q32" i="6"/>
  <c r="S32" i="6"/>
  <c r="M32" i="7"/>
  <c r="Q32" i="11"/>
  <c r="S32" i="13"/>
  <c r="O32" i="14"/>
  <c r="S32" i="21"/>
  <c r="O32" i="19"/>
  <c r="O32" i="21"/>
  <c r="O32" i="7"/>
  <c r="Q35" i="20"/>
  <c r="U32" i="21"/>
  <c r="Q32" i="26"/>
  <c r="M32" i="32"/>
  <c r="M32" i="34"/>
  <c r="S32" i="36"/>
  <c r="M32" i="40"/>
  <c r="O34" i="61"/>
  <c r="O35" i="61" s="1"/>
  <c r="M32" i="19"/>
  <c r="S35" i="33"/>
  <c r="O32" i="34"/>
  <c r="Q32" i="34"/>
  <c r="Q32" i="40"/>
  <c r="W32" i="43"/>
  <c r="M32" i="51"/>
  <c r="W32" i="46"/>
  <c r="O32" i="51"/>
  <c r="W32" i="51"/>
  <c r="U32" i="32"/>
  <c r="S32" i="47"/>
  <c r="M32" i="18"/>
  <c r="M32" i="27"/>
  <c r="W32" i="32"/>
  <c r="Q32" i="31"/>
  <c r="M32" i="35"/>
  <c r="O32" i="37"/>
  <c r="M32" i="48"/>
  <c r="O32" i="54"/>
  <c r="Q32" i="18"/>
  <c r="Q32" i="25"/>
  <c r="Q32" i="41"/>
  <c r="S32" i="25"/>
  <c r="U32" i="38"/>
  <c r="S32" i="41"/>
  <c r="O32" i="45"/>
  <c r="M32" i="50"/>
  <c r="Q32" i="17"/>
  <c r="U32" i="25"/>
  <c r="U32" i="41"/>
  <c r="S32" i="48"/>
  <c r="Q32" i="39"/>
  <c r="O32" i="42"/>
  <c r="Q32" i="50"/>
  <c r="M32" i="52"/>
  <c r="O32" i="60"/>
  <c r="U32" i="30"/>
  <c r="Q32" i="33"/>
  <c r="W32" i="35"/>
  <c r="Q32" i="42"/>
  <c r="M32" i="49"/>
  <c r="S32" i="50"/>
  <c r="O32" i="52"/>
  <c r="W32" i="47"/>
  <c r="Q32" i="52"/>
  <c r="S32" i="54"/>
  <c r="W32" i="24"/>
  <c r="U32" i="33"/>
  <c r="M32" i="43"/>
  <c r="Q32" i="49"/>
  <c r="M32" i="26"/>
  <c r="S32" i="57"/>
  <c r="O32" i="26"/>
  <c r="U32" i="54"/>
  <c r="Q34" i="70"/>
  <c r="Q35" i="70" s="1"/>
  <c r="U32" i="78"/>
  <c r="Q32" i="56"/>
  <c r="W32" i="57"/>
  <c r="O32" i="59"/>
  <c r="M32" i="61"/>
  <c r="U34" i="63"/>
  <c r="U35" i="63" s="1"/>
  <c r="Q34" i="63"/>
  <c r="Q35" i="63" s="1"/>
  <c r="Q32" i="48"/>
  <c r="W32" i="50"/>
  <c r="U32" i="51"/>
  <c r="W32" i="54"/>
  <c r="O32" i="57"/>
  <c r="S32" i="59"/>
  <c r="Q32" i="61"/>
  <c r="O32" i="68"/>
  <c r="S34" i="76"/>
  <c r="S35" i="76" s="1"/>
  <c r="Q32" i="79"/>
  <c r="M32" i="79"/>
  <c r="Q32" i="57"/>
  <c r="U32" i="59"/>
  <c r="O32" i="64"/>
  <c r="S34" i="79"/>
  <c r="S35" i="79" s="1"/>
  <c r="W32" i="59"/>
  <c r="S32" i="68"/>
  <c r="Q32" i="53"/>
  <c r="W34" i="70"/>
  <c r="W35" i="70" s="1"/>
  <c r="S32" i="52"/>
  <c r="M32" i="66"/>
  <c r="Q32" i="73"/>
  <c r="M32" i="77"/>
  <c r="U32" i="52"/>
  <c r="S32" i="56"/>
  <c r="W32" i="63"/>
  <c r="U32" i="47"/>
  <c r="S32" i="58"/>
  <c r="Q32" i="60"/>
  <c r="O32" i="67"/>
  <c r="U34" i="71"/>
  <c r="U35" i="71" s="1"/>
  <c r="M32" i="74"/>
  <c r="Q32" i="78"/>
  <c r="S32" i="60"/>
  <c r="O34" i="66"/>
  <c r="O35" i="66" s="1"/>
  <c r="O34" i="72"/>
  <c r="O35" i="72" s="1"/>
  <c r="M32" i="57"/>
  <c r="U32" i="57"/>
  <c r="W32" i="58"/>
  <c r="M32" i="59"/>
  <c r="U32" i="60"/>
  <c r="W32" i="62"/>
  <c r="S32" i="64"/>
  <c r="S32" i="67"/>
  <c r="O32" i="69"/>
  <c r="S34" i="73"/>
  <c r="S35" i="73" s="1"/>
  <c r="M32" i="78"/>
  <c r="U32" i="49"/>
  <c r="M32" i="58"/>
  <c r="U32" i="64"/>
  <c r="U32" i="67"/>
  <c r="Q32" i="69"/>
  <c r="U32" i="75"/>
  <c r="W32" i="49"/>
  <c r="M32" i="53"/>
  <c r="M32" i="54"/>
  <c r="W32" i="67"/>
  <c r="D9" i="28" l="1" a="1"/>
  <c r="D9" i="28" s="1"/>
  <c r="D9" i="76" a="1"/>
  <c r="D9" i="76" s="1"/>
  <c r="D9" i="84" a="1"/>
  <c r="D9" i="84" s="1"/>
  <c r="D9" i="82" a="1"/>
  <c r="D9" i="82" s="1"/>
  <c r="D9" i="70" a="1"/>
  <c r="D9" i="70" s="1"/>
  <c r="D9" i="87" a="1"/>
  <c r="D9" i="87" s="1"/>
  <c r="D9" i="71" a="1"/>
  <c r="D9" i="71" s="1"/>
  <c r="D32" i="88"/>
  <c r="D35" i="88" s="1"/>
  <c r="E9" i="88"/>
  <c r="E32" i="88" s="1"/>
  <c r="E35" i="88" s="1"/>
  <c r="D9" i="83" a="1"/>
  <c r="D9" i="83" s="1"/>
  <c r="O36" i="89"/>
  <c r="O37" i="89" s="1"/>
  <c r="M36" i="89"/>
  <c r="M37" i="89" s="1"/>
  <c r="Q36" i="89"/>
  <c r="Q37" i="89" s="1"/>
  <c r="W36" i="89"/>
  <c r="W37" i="89" s="1"/>
  <c r="W35" i="45"/>
  <c r="O36" i="91"/>
  <c r="O37" i="91" s="1"/>
  <c r="M36" i="91"/>
  <c r="M37" i="91" s="1"/>
  <c r="W36" i="91"/>
  <c r="W37" i="91" s="1"/>
  <c r="U36" i="91"/>
  <c r="U37" i="91" s="1"/>
  <c r="S36" i="91"/>
  <c r="S37" i="91" s="1"/>
  <c r="W35" i="9"/>
  <c r="O35" i="24"/>
  <c r="M35" i="62"/>
  <c r="S35" i="51"/>
  <c r="W35" i="25"/>
  <c r="U35" i="42"/>
  <c r="M35" i="75"/>
  <c r="U35" i="65"/>
  <c r="U35" i="48"/>
  <c r="U35" i="24"/>
  <c r="U35" i="23"/>
  <c r="W35" i="66"/>
  <c r="U34" i="37"/>
  <c r="U35" i="37" s="1"/>
  <c r="U35" i="68"/>
  <c r="U35" i="50"/>
  <c r="U35" i="29"/>
  <c r="M35" i="23"/>
  <c r="M35" i="47"/>
  <c r="O35" i="49"/>
  <c r="S35" i="30"/>
  <c r="O35" i="36"/>
  <c r="U34" i="17"/>
  <c r="U35" i="17" s="1"/>
  <c r="M35" i="80"/>
  <c r="S35" i="65"/>
  <c r="M35" i="33"/>
  <c r="M35" i="8"/>
  <c r="W34" i="39"/>
  <c r="W35" i="39" s="1"/>
  <c r="S35" i="23"/>
  <c r="M35" i="67"/>
  <c r="M35" i="44"/>
  <c r="M35" i="30"/>
  <c r="Q35" i="16"/>
  <c r="S35" i="7"/>
  <c r="S34" i="5"/>
  <c r="S35" i="5" s="1"/>
  <c r="S35" i="44"/>
  <c r="Q34" i="86"/>
  <c r="Q35" i="86" s="1"/>
  <c r="D9" i="86" s="1" a="1"/>
  <c r="D9" i="86" s="1"/>
  <c r="M34" i="31"/>
  <c r="M35" i="31" s="1"/>
  <c r="W34" i="36"/>
  <c r="W35" i="36" s="1"/>
  <c r="O34" i="53"/>
  <c r="O35" i="53" s="1"/>
  <c r="M35" i="29"/>
  <c r="O34" i="32"/>
  <c r="O35" i="32" s="1"/>
  <c r="O34" i="10"/>
  <c r="O35" i="10" s="1"/>
  <c r="Q35" i="58"/>
  <c r="U35" i="72"/>
  <c r="D9" i="72" s="1" a="1"/>
  <c r="D9" i="72" s="1"/>
  <c r="U34" i="66"/>
  <c r="U35" i="66" s="1"/>
  <c r="W34" i="31"/>
  <c r="W35" i="31" s="1"/>
  <c r="U34" i="11"/>
  <c r="U35" i="11" s="1"/>
  <c r="O35" i="30"/>
  <c r="Q35" i="66"/>
  <c r="O34" i="6"/>
  <c r="O35" i="6" s="1"/>
  <c r="M35" i="21"/>
  <c r="S34" i="85"/>
  <c r="S35" i="85" s="1"/>
  <c r="D9" i="85" s="1" a="1"/>
  <c r="D9" i="85" s="1"/>
  <c r="W35" i="78"/>
  <c r="Q35" i="19"/>
  <c r="M34" i="53"/>
  <c r="M35" i="53" s="1"/>
  <c r="O34" i="42"/>
  <c r="O35" i="42" s="1"/>
  <c r="D9" i="42" s="1" a="1"/>
  <c r="D9" i="42" s="1"/>
  <c r="O34" i="18"/>
  <c r="O35" i="18" s="1"/>
  <c r="W34" i="13"/>
  <c r="W35" i="13" s="1"/>
  <c r="Q34" i="7"/>
  <c r="Q35" i="7" s="1"/>
  <c r="U34" i="57"/>
  <c r="U35" i="57" s="1"/>
  <c r="Q34" i="48"/>
  <c r="Q35" i="48" s="1"/>
  <c r="S34" i="41"/>
  <c r="S35" i="41" s="1"/>
  <c r="W34" i="49"/>
  <c r="W35" i="49" s="1"/>
  <c r="M34" i="58"/>
  <c r="M35" i="58" s="1"/>
  <c r="M34" i="57"/>
  <c r="M35" i="57" s="1"/>
  <c r="S34" i="68"/>
  <c r="S35" i="68" s="1"/>
  <c r="Q34" i="49"/>
  <c r="Q35" i="49" s="1"/>
  <c r="Q34" i="39"/>
  <c r="Q35" i="39" s="1"/>
  <c r="D9" i="39" s="1" a="1"/>
  <c r="D9" i="39" s="1"/>
  <c r="U34" i="38"/>
  <c r="U35" i="38" s="1"/>
  <c r="D9" i="38" s="1" a="1"/>
  <c r="D9" i="38" s="1"/>
  <c r="W34" i="32"/>
  <c r="W35" i="32" s="1"/>
  <c r="M34" i="19"/>
  <c r="M35" i="19" s="1"/>
  <c r="S34" i="21"/>
  <c r="S35" i="21" s="1"/>
  <c r="W34" i="7"/>
  <c r="W35" i="7" s="1"/>
  <c r="M34" i="79"/>
  <c r="M35" i="79" s="1"/>
  <c r="M34" i="43"/>
  <c r="M35" i="43" s="1"/>
  <c r="O34" i="52"/>
  <c r="O35" i="52" s="1"/>
  <c r="S34" i="25"/>
  <c r="S35" i="25" s="1"/>
  <c r="O34" i="37"/>
  <c r="O35" i="37" s="1"/>
  <c r="M34" i="27"/>
  <c r="M35" i="27" s="1"/>
  <c r="W34" i="15"/>
  <c r="W35" i="15" s="1"/>
  <c r="O34" i="15"/>
  <c r="O35" i="15" s="1"/>
  <c r="Q34" i="5"/>
  <c r="Q35" i="5" s="1"/>
  <c r="Q34" i="79"/>
  <c r="Q35" i="79" s="1"/>
  <c r="U34" i="78"/>
  <c r="U35" i="78" s="1"/>
  <c r="U34" i="33"/>
  <c r="U35" i="33" s="1"/>
  <c r="S34" i="50"/>
  <c r="S35" i="50" s="1"/>
  <c r="M34" i="35"/>
  <c r="M35" i="35" s="1"/>
  <c r="M34" i="18"/>
  <c r="M35" i="18" s="1"/>
  <c r="W34" i="43"/>
  <c r="W35" i="43" s="1"/>
  <c r="O34" i="14"/>
  <c r="O35" i="14" s="1"/>
  <c r="W34" i="29"/>
  <c r="W35" i="29" s="1"/>
  <c r="Q34" i="14"/>
  <c r="Q35" i="14" s="1"/>
  <c r="U34" i="5"/>
  <c r="U35" i="5" s="1"/>
  <c r="U34" i="12"/>
  <c r="U35" i="12" s="1"/>
  <c r="Q34" i="60"/>
  <c r="Q35" i="60" s="1"/>
  <c r="W34" i="24"/>
  <c r="W35" i="24" s="1"/>
  <c r="D9" i="24" s="1" a="1"/>
  <c r="D9" i="24" s="1"/>
  <c r="M34" i="49"/>
  <c r="M35" i="49" s="1"/>
  <c r="S34" i="48"/>
  <c r="S35" i="48" s="1"/>
  <c r="Q34" i="31"/>
  <c r="Q35" i="31" s="1"/>
  <c r="Q34" i="40"/>
  <c r="Q35" i="40" s="1"/>
  <c r="S34" i="13"/>
  <c r="S35" i="13" s="1"/>
  <c r="U34" i="6"/>
  <c r="U35" i="6" s="1"/>
  <c r="U34" i="13"/>
  <c r="U35" i="13" s="1"/>
  <c r="M34" i="15"/>
  <c r="M35" i="15" s="1"/>
  <c r="S34" i="16"/>
  <c r="S35" i="16" s="1"/>
  <c r="S34" i="8"/>
  <c r="S35" i="8" s="1"/>
  <c r="Q34" i="42"/>
  <c r="Q35" i="42" s="1"/>
  <c r="Q34" i="34"/>
  <c r="Q35" i="34" s="1"/>
  <c r="Q34" i="11"/>
  <c r="Q35" i="11" s="1"/>
  <c r="D9" i="11" s="1" a="1"/>
  <c r="D9" i="11" s="1"/>
  <c r="W34" i="12"/>
  <c r="W35" i="12" s="1"/>
  <c r="M34" i="12"/>
  <c r="M35" i="12" s="1"/>
  <c r="U34" i="49"/>
  <c r="U35" i="49" s="1"/>
  <c r="Q34" i="78"/>
  <c r="Q35" i="78" s="1"/>
  <c r="M34" i="74"/>
  <c r="M35" i="74" s="1"/>
  <c r="U34" i="54"/>
  <c r="U35" i="54" s="1"/>
  <c r="S34" i="54"/>
  <c r="S35" i="54" s="1"/>
  <c r="W34" i="35"/>
  <c r="W35" i="35" s="1"/>
  <c r="W34" i="51"/>
  <c r="W35" i="51" s="1"/>
  <c r="M34" i="7"/>
  <c r="M35" i="7" s="1"/>
  <c r="M34" i="6"/>
  <c r="M35" i="6" s="1"/>
  <c r="Q34" i="52"/>
  <c r="Q35" i="52" s="1"/>
  <c r="Q34" i="33"/>
  <c r="Q35" i="33" s="1"/>
  <c r="U34" i="41"/>
  <c r="U35" i="41" s="1"/>
  <c r="O34" i="51"/>
  <c r="O35" i="51" s="1"/>
  <c r="S34" i="6"/>
  <c r="S35" i="6" s="1"/>
  <c r="W34" i="22"/>
  <c r="W35" i="22" s="1"/>
  <c r="M34" i="77"/>
  <c r="M35" i="77" s="1"/>
  <c r="U34" i="47"/>
  <c r="U35" i="47" s="1"/>
  <c r="O34" i="69"/>
  <c r="O35" i="69" s="1"/>
  <c r="W34" i="59"/>
  <c r="W35" i="59" s="1"/>
  <c r="Q34" i="15"/>
  <c r="Q35" i="15" s="1"/>
  <c r="Q34" i="73"/>
  <c r="Q35" i="73" s="1"/>
  <c r="D9" i="73" s="1" a="1"/>
  <c r="D9" i="73" s="1"/>
  <c r="O34" i="68"/>
  <c r="O35" i="68" s="1"/>
  <c r="D9" i="68" s="1" a="1"/>
  <c r="D9" i="68" s="1"/>
  <c r="Q34" i="41"/>
  <c r="Q35" i="41" s="1"/>
  <c r="D9" i="41" s="1" a="1"/>
  <c r="D9" i="41" s="1"/>
  <c r="S34" i="67"/>
  <c r="S35" i="67" s="1"/>
  <c r="S34" i="56"/>
  <c r="S35" i="56" s="1"/>
  <c r="Q34" i="61"/>
  <c r="Q35" i="61" s="1"/>
  <c r="M34" i="61"/>
  <c r="M35" i="61" s="1"/>
  <c r="O34" i="60"/>
  <c r="O35" i="60" s="1"/>
  <c r="D9" i="60" s="1" a="1"/>
  <c r="D9" i="60" s="1"/>
  <c r="Q34" i="17"/>
  <c r="Q35" i="17" s="1"/>
  <c r="Q34" i="25"/>
  <c r="Q35" i="25" s="1"/>
  <c r="D9" i="25" s="1" a="1"/>
  <c r="D9" i="25" s="1"/>
  <c r="M34" i="40"/>
  <c r="M35" i="40" s="1"/>
  <c r="U34" i="21"/>
  <c r="U35" i="21" s="1"/>
  <c r="S34" i="58"/>
  <c r="S35" i="58" s="1"/>
  <c r="U34" i="25"/>
  <c r="U35" i="25" s="1"/>
  <c r="S34" i="59"/>
  <c r="S35" i="59" s="1"/>
  <c r="S34" i="36"/>
  <c r="S35" i="36" s="1"/>
  <c r="M34" i="14"/>
  <c r="M35" i="14" s="1"/>
  <c r="W34" i="46"/>
  <c r="W35" i="46" s="1"/>
  <c r="D9" i="46" s="1" a="1"/>
  <c r="D9" i="46" s="1"/>
  <c r="O34" i="67"/>
  <c r="O35" i="67" s="1"/>
  <c r="S34" i="52"/>
  <c r="S35" i="52" s="1"/>
  <c r="Q34" i="13"/>
  <c r="Q35" i="13" s="1"/>
  <c r="W34" i="63"/>
  <c r="W35" i="63" s="1"/>
  <c r="D9" i="63" s="1" a="1"/>
  <c r="D9" i="63" s="1"/>
  <c r="U34" i="52"/>
  <c r="U35" i="52" s="1"/>
  <c r="M34" i="66"/>
  <c r="M35" i="66" s="1"/>
  <c r="O34" i="59"/>
  <c r="O35" i="59" s="1"/>
  <c r="O34" i="26"/>
  <c r="O35" i="26" s="1"/>
  <c r="W34" i="47"/>
  <c r="W35" i="47" s="1"/>
  <c r="Q34" i="18"/>
  <c r="Q35" i="18" s="1"/>
  <c r="O34" i="57"/>
  <c r="O35" i="57" s="1"/>
  <c r="W34" i="57"/>
  <c r="W35" i="57" s="1"/>
  <c r="S34" i="57"/>
  <c r="S35" i="57" s="1"/>
  <c r="O34" i="64"/>
  <c r="O35" i="64" s="1"/>
  <c r="Q34" i="56"/>
  <c r="Q35" i="56" s="1"/>
  <c r="D9" i="56" s="1" a="1"/>
  <c r="D9" i="56" s="1"/>
  <c r="O34" i="7"/>
  <c r="O35" i="7" s="1"/>
  <c r="Q34" i="23"/>
  <c r="Q35" i="23" s="1"/>
  <c r="U34" i="10"/>
  <c r="U35" i="10" s="1"/>
  <c r="S34" i="20"/>
  <c r="S35" i="20" s="1"/>
  <c r="D9" i="20" s="1" a="1"/>
  <c r="D9" i="20" s="1"/>
  <c r="Q34" i="53"/>
  <c r="Q35" i="53" s="1"/>
  <c r="U34" i="60"/>
  <c r="U35" i="60" s="1"/>
  <c r="O34" i="54"/>
  <c r="O35" i="54" s="1"/>
  <c r="Q34" i="26"/>
  <c r="Q35" i="26" s="1"/>
  <c r="W34" i="21"/>
  <c r="W35" i="21" s="1"/>
  <c r="O34" i="9"/>
  <c r="O35" i="9" s="1"/>
  <c r="W34" i="18"/>
  <c r="W35" i="18" s="1"/>
  <c r="U34" i="30"/>
  <c r="U35" i="30" s="1"/>
  <c r="Q34" i="6"/>
  <c r="Q35" i="6" s="1"/>
  <c r="Q34" i="69"/>
  <c r="Q35" i="69" s="1"/>
  <c r="S34" i="64"/>
  <c r="S35" i="64" s="1"/>
  <c r="W34" i="67"/>
  <c r="W35" i="67" s="1"/>
  <c r="U34" i="67"/>
  <c r="U35" i="67" s="1"/>
  <c r="M34" i="26"/>
  <c r="M35" i="26" s="1"/>
  <c r="Q34" i="57"/>
  <c r="Q35" i="57" s="1"/>
  <c r="U34" i="51"/>
  <c r="U35" i="51" s="1"/>
  <c r="M34" i="52"/>
  <c r="M35" i="52" s="1"/>
  <c r="M34" i="50"/>
  <c r="M35" i="50" s="1"/>
  <c r="M34" i="48"/>
  <c r="M35" i="48" s="1"/>
  <c r="O34" i="21"/>
  <c r="O35" i="21" s="1"/>
  <c r="W34" i="19"/>
  <c r="W35" i="19" s="1"/>
  <c r="S34" i="19"/>
  <c r="S35" i="19" s="1"/>
  <c r="O34" i="22"/>
  <c r="O35" i="22" s="1"/>
  <c r="D9" i="22" s="1" a="1"/>
  <c r="D9" i="22" s="1"/>
  <c r="W34" i="17"/>
  <c r="W35" i="17" s="1"/>
  <c r="S34" i="60"/>
  <c r="S35" i="60" s="1"/>
  <c r="U34" i="75"/>
  <c r="U35" i="75" s="1"/>
  <c r="M34" i="78"/>
  <c r="M35" i="78" s="1"/>
  <c r="S34" i="47"/>
  <c r="S35" i="47" s="1"/>
  <c r="M34" i="34"/>
  <c r="M35" i="34" s="1"/>
  <c r="W34" i="62"/>
  <c r="W35" i="62" s="1"/>
  <c r="M34" i="32"/>
  <c r="M35" i="32" s="1"/>
  <c r="U34" i="64"/>
  <c r="U35" i="64" s="1"/>
  <c r="U34" i="59"/>
  <c r="U35" i="59" s="1"/>
  <c r="W34" i="54"/>
  <c r="W35" i="54" s="1"/>
  <c r="M34" i="59"/>
  <c r="M35" i="59" s="1"/>
  <c r="M34" i="54"/>
  <c r="M35" i="54" s="1"/>
  <c r="W34" i="58"/>
  <c r="W35" i="58" s="1"/>
  <c r="W34" i="50"/>
  <c r="W35" i="50" s="1"/>
  <c r="Q34" i="50"/>
  <c r="Q35" i="50" s="1"/>
  <c r="O34" i="45"/>
  <c r="O35" i="45" s="1"/>
  <c r="D9" i="45" s="1" a="1"/>
  <c r="D9" i="45" s="1"/>
  <c r="U34" i="32"/>
  <c r="U35" i="32" s="1"/>
  <c r="M34" i="51"/>
  <c r="M35" i="51" s="1"/>
  <c r="O34" i="34"/>
  <c r="O35" i="34" s="1"/>
  <c r="O34" i="19"/>
  <c r="O35" i="19" s="1"/>
  <c r="S34" i="14"/>
  <c r="S35" i="14" s="1"/>
  <c r="U34" i="19"/>
  <c r="U35" i="19" s="1"/>
  <c r="O34" i="17"/>
  <c r="O35" i="17" s="1"/>
  <c r="D9" i="13" l="1" a="1"/>
  <c r="D9" i="13" s="1"/>
  <c r="D9" i="65" a="1"/>
  <c r="D9" i="65" s="1"/>
  <c r="D9" i="75" a="1"/>
  <c r="D9" i="75" s="1"/>
  <c r="D9" i="36" a="1"/>
  <c r="D9" i="36" s="1"/>
  <c r="D9" i="64" a="1"/>
  <c r="D9" i="64" s="1"/>
  <c r="D9" i="5" a="1"/>
  <c r="D9" i="5" s="1"/>
  <c r="E9" i="5" s="1"/>
  <c r="E32" i="5" s="1"/>
  <c r="E35" i="5" s="1"/>
  <c r="D9" i="69" a="1"/>
  <c r="D9" i="69" s="1"/>
  <c r="D9" i="16" a="1"/>
  <c r="D9" i="16" s="1"/>
  <c r="D32" i="16" s="1"/>
  <c r="D35" i="16" s="1"/>
  <c r="D9" i="17" a="1"/>
  <c r="D9" i="17" s="1"/>
  <c r="D32" i="17" s="1"/>
  <c r="D35" i="17" s="1"/>
  <c r="D9" i="9" a="1"/>
  <c r="D9" i="9" s="1"/>
  <c r="D32" i="9" s="1"/>
  <c r="D35" i="9" s="1"/>
  <c r="D9" i="37" a="1"/>
  <c r="D9" i="37" s="1"/>
  <c r="D32" i="37" s="1"/>
  <c r="D35" i="37" s="1"/>
  <c r="D9" i="10" a="1"/>
  <c r="D9" i="10" s="1"/>
  <c r="D32" i="10" s="1"/>
  <c r="D35" i="10" s="1"/>
  <c r="D32" i="63"/>
  <c r="D35" i="63" s="1"/>
  <c r="E9" i="63"/>
  <c r="E32" i="63" s="1"/>
  <c r="E35" i="63" s="1"/>
  <c r="W36" i="63" s="1"/>
  <c r="W37" i="63" s="1"/>
  <c r="D32" i="20"/>
  <c r="D35" i="20" s="1"/>
  <c r="E9" i="20"/>
  <c r="E32" i="20" s="1"/>
  <c r="E35" i="20" s="1"/>
  <c r="D32" i="86"/>
  <c r="D35" i="86" s="1"/>
  <c r="E9" i="86"/>
  <c r="E32" i="86" s="1"/>
  <c r="E35" i="86" s="1"/>
  <c r="D32" i="56"/>
  <c r="D35" i="56" s="1"/>
  <c r="E9" i="56"/>
  <c r="E32" i="56" s="1"/>
  <c r="E35" i="56" s="1"/>
  <c r="D32" i="42"/>
  <c r="D35" i="42" s="1"/>
  <c r="E9" i="42"/>
  <c r="E32" i="42" s="1"/>
  <c r="E35" i="42" s="1"/>
  <c r="U36" i="42" s="1"/>
  <c r="U37" i="42" s="1"/>
  <c r="D32" i="68"/>
  <c r="D35" i="68" s="1"/>
  <c r="E9" i="68"/>
  <c r="E32" i="68" s="1"/>
  <c r="E35" i="68" s="1"/>
  <c r="O36" i="68" s="1"/>
  <c r="O37" i="68" s="1"/>
  <c r="D32" i="38"/>
  <c r="D35" i="38" s="1"/>
  <c r="E9" i="38"/>
  <c r="E32" i="38" s="1"/>
  <c r="E35" i="38" s="1"/>
  <c r="U36" i="38" s="1"/>
  <c r="U37" i="38" s="1"/>
  <c r="D32" i="73"/>
  <c r="D35" i="73" s="1"/>
  <c r="E9" i="73"/>
  <c r="E32" i="73" s="1"/>
  <c r="E35" i="73" s="1"/>
  <c r="D32" i="5"/>
  <c r="D35" i="5" s="1"/>
  <c r="D32" i="25"/>
  <c r="D35" i="25" s="1"/>
  <c r="E9" i="25"/>
  <c r="E32" i="25" s="1"/>
  <c r="E35" i="25" s="1"/>
  <c r="D32" i="65"/>
  <c r="D35" i="65" s="1"/>
  <c r="E9" i="65"/>
  <c r="E32" i="65" s="1"/>
  <c r="E35" i="65" s="1"/>
  <c r="D32" i="41"/>
  <c r="D35" i="41" s="1"/>
  <c r="E9" i="41"/>
  <c r="E32" i="41" s="1"/>
  <c r="E35" i="41" s="1"/>
  <c r="D32" i="36"/>
  <c r="D35" i="36" s="1"/>
  <c r="E9" i="36"/>
  <c r="E32" i="36" s="1"/>
  <c r="E35" i="36" s="1"/>
  <c r="O36" i="36" s="1"/>
  <c r="O37" i="36" s="1"/>
  <c r="D32" i="85"/>
  <c r="D35" i="85" s="1"/>
  <c r="E9" i="85"/>
  <c r="E32" i="85" s="1"/>
  <c r="E35" i="85" s="1"/>
  <c r="D32" i="64"/>
  <c r="D35" i="64" s="1"/>
  <c r="E9" i="64"/>
  <c r="E32" i="64" s="1"/>
  <c r="E35" i="64" s="1"/>
  <c r="O36" i="64" s="1"/>
  <c r="O37" i="64" s="1"/>
  <c r="D32" i="69"/>
  <c r="D35" i="69" s="1"/>
  <c r="E9" i="69"/>
  <c r="E32" i="69" s="1"/>
  <c r="E35" i="69" s="1"/>
  <c r="D32" i="22"/>
  <c r="D35" i="22" s="1"/>
  <c r="E9" i="22"/>
  <c r="E32" i="22" s="1"/>
  <c r="E35" i="22" s="1"/>
  <c r="D32" i="11"/>
  <c r="D35" i="11" s="1"/>
  <c r="E9" i="11"/>
  <c r="E32" i="11" s="1"/>
  <c r="E35" i="11" s="1"/>
  <c r="D32" i="72"/>
  <c r="D35" i="72" s="1"/>
  <c r="E9" i="72"/>
  <c r="E32" i="72" s="1"/>
  <c r="E35" i="72" s="1"/>
  <c r="U36" i="72" s="1"/>
  <c r="U37" i="72" s="1"/>
  <c r="D32" i="60"/>
  <c r="D35" i="60" s="1"/>
  <c r="E9" i="60"/>
  <c r="E32" i="60" s="1"/>
  <c r="E35" i="60" s="1"/>
  <c r="U36" i="60" s="1"/>
  <c r="U37" i="60" s="1"/>
  <c r="D32" i="13"/>
  <c r="D35" i="13" s="1"/>
  <c r="E9" i="13"/>
  <c r="E32" i="13" s="1"/>
  <c r="E35" i="13" s="1"/>
  <c r="U36" i="13" s="1"/>
  <c r="U37" i="13" s="1"/>
  <c r="D32" i="46"/>
  <c r="D35" i="46" s="1"/>
  <c r="E9" i="46"/>
  <c r="E32" i="46" s="1"/>
  <c r="E35" i="46" s="1"/>
  <c r="W36" i="46" s="1"/>
  <c r="W37" i="46" s="1"/>
  <c r="D32" i="39"/>
  <c r="D35" i="39" s="1"/>
  <c r="E9" i="39"/>
  <c r="E32" i="39" s="1"/>
  <c r="E35" i="39" s="1"/>
  <c r="D9" i="26" a="1"/>
  <c r="D9" i="26" s="1"/>
  <c r="D9" i="27" a="1"/>
  <c r="D9" i="27" s="1"/>
  <c r="D9" i="77" a="1"/>
  <c r="D9" i="77" s="1"/>
  <c r="D9" i="12" a="1"/>
  <c r="D9" i="12" s="1"/>
  <c r="D9" i="30" a="1"/>
  <c r="D9" i="30" s="1"/>
  <c r="D9" i="40" a="1"/>
  <c r="D9" i="40" s="1"/>
  <c r="D9" i="44" a="1"/>
  <c r="D9" i="44" s="1"/>
  <c r="D9" i="67" a="1"/>
  <c r="D9" i="67" s="1"/>
  <c r="D9" i="54" a="1"/>
  <c r="D9" i="54" s="1"/>
  <c r="D9" i="66" a="1"/>
  <c r="D9" i="66" s="1"/>
  <c r="D32" i="76"/>
  <c r="D35" i="76" s="1"/>
  <c r="E9" i="76"/>
  <c r="E32" i="76" s="1"/>
  <c r="E35" i="76" s="1"/>
  <c r="D9" i="50" a="1"/>
  <c r="D9" i="50" s="1"/>
  <c r="D9" i="61" a="1"/>
  <c r="D9" i="61" s="1"/>
  <c r="D9" i="79" a="1"/>
  <c r="D9" i="79" s="1"/>
  <c r="D9" i="8" a="1"/>
  <c r="D9" i="8" s="1"/>
  <c r="D32" i="82"/>
  <c r="D35" i="82" s="1"/>
  <c r="E9" i="82"/>
  <c r="E32" i="82" s="1"/>
  <c r="E35" i="82" s="1"/>
  <c r="D9" i="43" a="1"/>
  <c r="D9" i="43" s="1"/>
  <c r="D32" i="87"/>
  <c r="D35" i="87" s="1"/>
  <c r="E9" i="87"/>
  <c r="E32" i="87" s="1"/>
  <c r="E35" i="87" s="1"/>
  <c r="D9" i="52" a="1"/>
  <c r="D9" i="52" s="1"/>
  <c r="D9" i="33" a="1"/>
  <c r="D9" i="33" s="1"/>
  <c r="D9" i="6" a="1"/>
  <c r="D9" i="6" s="1"/>
  <c r="D9" i="15" a="1"/>
  <c r="D9" i="15" s="1"/>
  <c r="D9" i="18" a="1"/>
  <c r="D9" i="18" s="1"/>
  <c r="D9" i="29" a="1"/>
  <c r="D9" i="29" s="1"/>
  <c r="W36" i="88"/>
  <c r="W37" i="88" s="1"/>
  <c r="S36" i="88"/>
  <c r="S37" i="88" s="1"/>
  <c r="O36" i="88"/>
  <c r="O37" i="88" s="1"/>
  <c r="M36" i="88"/>
  <c r="M37" i="88" s="1"/>
  <c r="Q36" i="88"/>
  <c r="Q37" i="88" s="1"/>
  <c r="U36" i="88"/>
  <c r="U37" i="88" s="1"/>
  <c r="D32" i="45"/>
  <c r="D35" i="45" s="1"/>
  <c r="E9" i="45"/>
  <c r="E32" i="45" s="1"/>
  <c r="E35" i="45" s="1"/>
  <c r="O36" i="45" s="1"/>
  <c r="O37" i="45" s="1"/>
  <c r="D9" i="32" a="1"/>
  <c r="D9" i="32" s="1"/>
  <c r="D9" i="7" a="1"/>
  <c r="D9" i="7" s="1"/>
  <c r="D9" i="35" a="1"/>
  <c r="D9" i="35" s="1"/>
  <c r="D9" i="19" a="1"/>
  <c r="D9" i="19" s="1"/>
  <c r="D9" i="53" a="1"/>
  <c r="D9" i="53" s="1"/>
  <c r="D9" i="80" a="1"/>
  <c r="D9" i="80" s="1"/>
  <c r="D9" i="34" a="1"/>
  <c r="D9" i="34" s="1"/>
  <c r="D9" i="31" a="1"/>
  <c r="D9" i="31" s="1"/>
  <c r="D9" i="59" a="1"/>
  <c r="D9" i="59" s="1"/>
  <c r="D9" i="62" a="1"/>
  <c r="D9" i="62" s="1"/>
  <c r="D32" i="28"/>
  <c r="D35" i="28" s="1"/>
  <c r="E9" i="28"/>
  <c r="E32" i="28" s="1"/>
  <c r="E35" i="28" s="1"/>
  <c r="D32" i="24"/>
  <c r="D35" i="24" s="1"/>
  <c r="E9" i="24"/>
  <c r="E32" i="24" s="1"/>
  <c r="E35" i="24" s="1"/>
  <c r="D9" i="14" a="1"/>
  <c r="D9" i="14" s="1"/>
  <c r="D9" i="21" a="1"/>
  <c r="D9" i="21" s="1"/>
  <c r="D32" i="83"/>
  <c r="D35" i="83" s="1"/>
  <c r="E9" i="83"/>
  <c r="E32" i="83" s="1"/>
  <c r="E35" i="83" s="1"/>
  <c r="D32" i="71"/>
  <c r="D35" i="71" s="1"/>
  <c r="E9" i="71"/>
  <c r="E32" i="71" s="1"/>
  <c r="E35" i="71" s="1"/>
  <c r="D9" i="48" a="1"/>
  <c r="D9" i="48" s="1"/>
  <c r="D32" i="75"/>
  <c r="D35" i="75" s="1"/>
  <c r="E9" i="75"/>
  <c r="E32" i="75" s="1"/>
  <c r="E35" i="75" s="1"/>
  <c r="M36" i="75" s="1"/>
  <c r="M37" i="75" s="1"/>
  <c r="D9" i="78" a="1"/>
  <c r="D9" i="78" s="1"/>
  <c r="D9" i="51" a="1"/>
  <c r="D9" i="51" s="1"/>
  <c r="D9" i="74" a="1"/>
  <c r="D9" i="74" s="1"/>
  <c r="D9" i="47" a="1"/>
  <c r="D9" i="47" s="1"/>
  <c r="D9" i="49" a="1"/>
  <c r="D9" i="49" s="1"/>
  <c r="D9" i="57" a="1"/>
  <c r="D9" i="57" s="1"/>
  <c r="D9" i="23" a="1"/>
  <c r="D9" i="23" s="1"/>
  <c r="D32" i="84"/>
  <c r="D35" i="84" s="1"/>
  <c r="E9" i="84"/>
  <c r="E32" i="84" s="1"/>
  <c r="E35" i="84" s="1"/>
  <c r="D9" i="58" a="1"/>
  <c r="D9" i="58" s="1"/>
  <c r="D32" i="70"/>
  <c r="D35" i="70" s="1"/>
  <c r="E9" i="70"/>
  <c r="E32" i="70" s="1"/>
  <c r="E35" i="70" s="1"/>
  <c r="W36" i="22"/>
  <c r="W37" i="22" s="1"/>
  <c r="Q36" i="11"/>
  <c r="Q37" i="11" s="1"/>
  <c r="W36" i="25"/>
  <c r="W37" i="25" s="1"/>
  <c r="Q36" i="25"/>
  <c r="Q37" i="25" s="1"/>
  <c r="S36" i="25"/>
  <c r="S37" i="25" s="1"/>
  <c r="W36" i="39"/>
  <c r="W37" i="39" s="1"/>
  <c r="U36" i="41"/>
  <c r="U37" i="41" s="1"/>
  <c r="U36" i="24"/>
  <c r="U37" i="24" s="1"/>
  <c r="S36" i="56"/>
  <c r="S37" i="56" s="1"/>
  <c r="S36" i="65"/>
  <c r="S37" i="65" s="1"/>
  <c r="Q36" i="41"/>
  <c r="Q37" i="41" s="1"/>
  <c r="Q36" i="39"/>
  <c r="Q37" i="39" s="1"/>
  <c r="O36" i="69"/>
  <c r="O37" i="69" s="1"/>
  <c r="Q36" i="73"/>
  <c r="Q37" i="73" s="1"/>
  <c r="W36" i="24"/>
  <c r="W37" i="24" s="1"/>
  <c r="U36" i="65"/>
  <c r="U37" i="65" s="1"/>
  <c r="S36" i="20"/>
  <c r="S37" i="20" s="1"/>
  <c r="Q36" i="56"/>
  <c r="Q37" i="56" s="1"/>
  <c r="U36" i="75"/>
  <c r="U37" i="75" s="1"/>
  <c r="Q36" i="69"/>
  <c r="Q37" i="69" s="1"/>
  <c r="U36" i="25"/>
  <c r="U37" i="25" s="1"/>
  <c r="O36" i="22"/>
  <c r="O37" i="22" s="1"/>
  <c r="U36" i="11"/>
  <c r="U37" i="11" s="1"/>
  <c r="S36" i="41"/>
  <c r="S37" i="41" s="1"/>
  <c r="S36" i="5" l="1"/>
  <c r="S37" i="5" s="1"/>
  <c r="U36" i="5"/>
  <c r="U37" i="5" s="1"/>
  <c r="Q36" i="5"/>
  <c r="Q37" i="5" s="1"/>
  <c r="E9" i="17"/>
  <c r="E32" i="17" s="1"/>
  <c r="E35" i="17" s="1"/>
  <c r="U36" i="64"/>
  <c r="U37" i="64" s="1"/>
  <c r="S36" i="64"/>
  <c r="S37" i="64" s="1"/>
  <c r="E9" i="10"/>
  <c r="E32" i="10" s="1"/>
  <c r="E35" i="10" s="1"/>
  <c r="O36" i="10" s="1"/>
  <c r="O37" i="10" s="1"/>
  <c r="E9" i="37"/>
  <c r="E32" i="37" s="1"/>
  <c r="E35" i="37" s="1"/>
  <c r="O36" i="37" s="1"/>
  <c r="O37" i="37" s="1"/>
  <c r="E9" i="16"/>
  <c r="E32" i="16" s="1"/>
  <c r="E35" i="16" s="1"/>
  <c r="E9" i="9"/>
  <c r="E32" i="9" s="1"/>
  <c r="E35" i="9" s="1"/>
  <c r="S36" i="13"/>
  <c r="S37" i="13" s="1"/>
  <c r="D32" i="49"/>
  <c r="D35" i="49" s="1"/>
  <c r="E9" i="49"/>
  <c r="E32" i="49" s="1"/>
  <c r="E35" i="49" s="1"/>
  <c r="Q36" i="83"/>
  <c r="Q37" i="83" s="1"/>
  <c r="M36" i="83"/>
  <c r="M37" i="83" s="1"/>
  <c r="U36" i="83"/>
  <c r="U37" i="83" s="1"/>
  <c r="S36" i="83"/>
  <c r="S37" i="83" s="1"/>
  <c r="O36" i="83"/>
  <c r="O37" i="83" s="1"/>
  <c r="W36" i="83"/>
  <c r="W37" i="83" s="1"/>
  <c r="D32" i="34"/>
  <c r="D35" i="34" s="1"/>
  <c r="E9" i="34"/>
  <c r="E32" i="34" s="1"/>
  <c r="E35" i="34" s="1"/>
  <c r="D32" i="52"/>
  <c r="D35" i="52" s="1"/>
  <c r="E9" i="52"/>
  <c r="E32" i="52" s="1"/>
  <c r="E35" i="52" s="1"/>
  <c r="Q36" i="76"/>
  <c r="Q37" i="76" s="1"/>
  <c r="U36" i="76"/>
  <c r="U37" i="76" s="1"/>
  <c r="S36" i="76"/>
  <c r="S37" i="76" s="1"/>
  <c r="W36" i="76"/>
  <c r="W37" i="76" s="1"/>
  <c r="M36" i="76"/>
  <c r="M37" i="76" s="1"/>
  <c r="O36" i="76"/>
  <c r="O37" i="76" s="1"/>
  <c r="D32" i="77"/>
  <c r="D35" i="77" s="1"/>
  <c r="E9" i="77"/>
  <c r="E32" i="77" s="1"/>
  <c r="E35" i="77" s="1"/>
  <c r="U36" i="85"/>
  <c r="U37" i="85" s="1"/>
  <c r="O36" i="85"/>
  <c r="O37" i="85" s="1"/>
  <c r="Q36" i="85"/>
  <c r="Q37" i="85" s="1"/>
  <c r="W36" i="85"/>
  <c r="W37" i="85" s="1"/>
  <c r="M36" i="85"/>
  <c r="M37" i="85" s="1"/>
  <c r="D32" i="47"/>
  <c r="D35" i="47" s="1"/>
  <c r="E9" i="47"/>
  <c r="E32" i="47" s="1"/>
  <c r="E35" i="47" s="1"/>
  <c r="D32" i="21"/>
  <c r="D35" i="21" s="1"/>
  <c r="E9" i="21"/>
  <c r="E32" i="21" s="1"/>
  <c r="E35" i="21" s="1"/>
  <c r="D32" i="80"/>
  <c r="D35" i="80" s="1"/>
  <c r="E9" i="80"/>
  <c r="E32" i="80" s="1"/>
  <c r="E35" i="80" s="1"/>
  <c r="O36" i="87"/>
  <c r="O37" i="87" s="1"/>
  <c r="Q36" i="87"/>
  <c r="Q37" i="87" s="1"/>
  <c r="S36" i="87"/>
  <c r="S37" i="87" s="1"/>
  <c r="W36" i="87"/>
  <c r="W37" i="87" s="1"/>
  <c r="U36" i="87"/>
  <c r="U37" i="87" s="1"/>
  <c r="M36" i="87"/>
  <c r="M37" i="87" s="1"/>
  <c r="D32" i="66"/>
  <c r="D35" i="66" s="1"/>
  <c r="E9" i="66"/>
  <c r="E32" i="66" s="1"/>
  <c r="E35" i="66" s="1"/>
  <c r="M36" i="68"/>
  <c r="M37" i="68" s="1"/>
  <c r="Q36" i="68"/>
  <c r="Q37" i="68" s="1"/>
  <c r="W36" i="68"/>
  <c r="W37" i="68" s="1"/>
  <c r="Q36" i="36"/>
  <c r="Q37" i="36" s="1"/>
  <c r="M36" i="36"/>
  <c r="M37" i="36" s="1"/>
  <c r="U36" i="36"/>
  <c r="U37" i="36" s="1"/>
  <c r="D32" i="27"/>
  <c r="D35" i="27" s="1"/>
  <c r="E9" i="27"/>
  <c r="E32" i="27" s="1"/>
  <c r="E35" i="27" s="1"/>
  <c r="W36" i="72"/>
  <c r="W37" i="72" s="1"/>
  <c r="S36" i="72"/>
  <c r="S37" i="72" s="1"/>
  <c r="M36" i="72"/>
  <c r="M37" i="72" s="1"/>
  <c r="Q36" i="72"/>
  <c r="Q37" i="72" s="1"/>
  <c r="O36" i="72"/>
  <c r="O37" i="72" s="1"/>
  <c r="W36" i="41"/>
  <c r="W37" i="41" s="1"/>
  <c r="M36" i="41"/>
  <c r="M37" i="41" s="1"/>
  <c r="O36" i="41"/>
  <c r="O37" i="41" s="1"/>
  <c r="M36" i="56"/>
  <c r="M37" i="56" s="1"/>
  <c r="U36" i="56"/>
  <c r="U37" i="56" s="1"/>
  <c r="O36" i="56"/>
  <c r="O37" i="56" s="1"/>
  <c r="W36" i="56"/>
  <c r="W37" i="56" s="1"/>
  <c r="D32" i="74"/>
  <c r="D35" i="74" s="1"/>
  <c r="E9" i="74"/>
  <c r="E32" i="74" s="1"/>
  <c r="E35" i="74" s="1"/>
  <c r="D32" i="14"/>
  <c r="D35" i="14" s="1"/>
  <c r="E9" i="14"/>
  <c r="E32" i="14" s="1"/>
  <c r="E35" i="14" s="1"/>
  <c r="D32" i="53"/>
  <c r="D35" i="53" s="1"/>
  <c r="E9" i="53"/>
  <c r="E32" i="53" s="1"/>
  <c r="E35" i="53" s="1"/>
  <c r="D32" i="43"/>
  <c r="D35" i="43" s="1"/>
  <c r="E9" i="43"/>
  <c r="E32" i="43" s="1"/>
  <c r="E35" i="43" s="1"/>
  <c r="D32" i="54"/>
  <c r="D35" i="54" s="1"/>
  <c r="E9" i="54"/>
  <c r="E32" i="54" s="1"/>
  <c r="E35" i="54" s="1"/>
  <c r="D32" i="26"/>
  <c r="D35" i="26" s="1"/>
  <c r="E9" i="26"/>
  <c r="E32" i="26" s="1"/>
  <c r="E35" i="26" s="1"/>
  <c r="S36" i="11"/>
  <c r="S37" i="11" s="1"/>
  <c r="O36" i="11"/>
  <c r="O37" i="11" s="1"/>
  <c r="W36" i="11"/>
  <c r="W37" i="11" s="1"/>
  <c r="M36" i="11"/>
  <c r="M37" i="11" s="1"/>
  <c r="M36" i="65"/>
  <c r="M37" i="65" s="1"/>
  <c r="W36" i="65"/>
  <c r="W37" i="65" s="1"/>
  <c r="O36" i="65"/>
  <c r="O37" i="65" s="1"/>
  <c r="Q36" i="65"/>
  <c r="Q37" i="65" s="1"/>
  <c r="W36" i="86"/>
  <c r="W37" i="86" s="1"/>
  <c r="O36" i="86"/>
  <c r="O37" i="86" s="1"/>
  <c r="M36" i="86"/>
  <c r="M37" i="86" s="1"/>
  <c r="U36" i="86"/>
  <c r="U37" i="86" s="1"/>
  <c r="S36" i="86"/>
  <c r="S37" i="86" s="1"/>
  <c r="D32" i="67"/>
  <c r="D35" i="67" s="1"/>
  <c r="E9" i="67"/>
  <c r="E32" i="67" s="1"/>
  <c r="E35" i="67" s="1"/>
  <c r="Q36" i="70"/>
  <c r="Q37" i="70" s="1"/>
  <c r="O36" i="70"/>
  <c r="O37" i="70" s="1"/>
  <c r="S36" i="70"/>
  <c r="S37" i="70" s="1"/>
  <c r="U36" i="70"/>
  <c r="U37" i="70" s="1"/>
  <c r="W36" i="70"/>
  <c r="W37" i="70" s="1"/>
  <c r="M36" i="70"/>
  <c r="M37" i="70" s="1"/>
  <c r="W36" i="36"/>
  <c r="W37" i="36" s="1"/>
  <c r="M36" i="10"/>
  <c r="M37" i="10" s="1"/>
  <c r="S36" i="10"/>
  <c r="S37" i="10" s="1"/>
  <c r="Q36" i="10"/>
  <c r="Q37" i="10" s="1"/>
  <c r="W36" i="10"/>
  <c r="W37" i="10" s="1"/>
  <c r="M36" i="37"/>
  <c r="M37" i="37" s="1"/>
  <c r="S36" i="37"/>
  <c r="S37" i="37" s="1"/>
  <c r="W36" i="37"/>
  <c r="W37" i="37" s="1"/>
  <c r="Q36" i="37"/>
  <c r="Q37" i="37" s="1"/>
  <c r="O36" i="25"/>
  <c r="O37" i="25" s="1"/>
  <c r="M36" i="25"/>
  <c r="M37" i="25" s="1"/>
  <c r="D32" i="35"/>
  <c r="D35" i="35" s="1"/>
  <c r="E9" i="35"/>
  <c r="E32" i="35" s="1"/>
  <c r="E35" i="35" s="1"/>
  <c r="D32" i="18"/>
  <c r="D35" i="18" s="1"/>
  <c r="E9" i="18"/>
  <c r="E32" i="18" s="1"/>
  <c r="E35" i="18" s="1"/>
  <c r="D32" i="8"/>
  <c r="D35" i="8" s="1"/>
  <c r="E9" i="8"/>
  <c r="E32" i="8" s="1"/>
  <c r="E35" i="8" s="1"/>
  <c r="D32" i="44"/>
  <c r="D35" i="44" s="1"/>
  <c r="E9" i="44"/>
  <c r="E32" i="44" s="1"/>
  <c r="E35" i="44" s="1"/>
  <c r="D32" i="58"/>
  <c r="D35" i="58" s="1"/>
  <c r="E9" i="58"/>
  <c r="E32" i="58" s="1"/>
  <c r="E35" i="58" s="1"/>
  <c r="Q36" i="28"/>
  <c r="Q37" i="28" s="1"/>
  <c r="W36" i="28"/>
  <c r="W37" i="28" s="1"/>
  <c r="U36" i="28"/>
  <c r="U37" i="28" s="1"/>
  <c r="M36" i="28"/>
  <c r="M37" i="28" s="1"/>
  <c r="O36" i="28"/>
  <c r="O37" i="28" s="1"/>
  <c r="S36" i="28"/>
  <c r="S37" i="28" s="1"/>
  <c r="Q36" i="42"/>
  <c r="Q37" i="42" s="1"/>
  <c r="O36" i="60"/>
  <c r="O37" i="60" s="1"/>
  <c r="Q36" i="9"/>
  <c r="Q37" i="9" s="1"/>
  <c r="M36" i="9"/>
  <c r="M37" i="9" s="1"/>
  <c r="U36" i="9"/>
  <c r="U37" i="9" s="1"/>
  <c r="S36" i="9"/>
  <c r="S37" i="9" s="1"/>
  <c r="Q36" i="22"/>
  <c r="Q37" i="22" s="1"/>
  <c r="M36" i="22"/>
  <c r="M37" i="22" s="1"/>
  <c r="S36" i="22"/>
  <c r="S37" i="22" s="1"/>
  <c r="U36" i="22"/>
  <c r="U37" i="22" s="1"/>
  <c r="W36" i="5"/>
  <c r="W37" i="5" s="1"/>
  <c r="M36" i="5"/>
  <c r="M37" i="5" s="1"/>
  <c r="O36" i="5"/>
  <c r="O37" i="5" s="1"/>
  <c r="Q36" i="20"/>
  <c r="Q37" i="20" s="1"/>
  <c r="O36" i="20"/>
  <c r="O37" i="20" s="1"/>
  <c r="W36" i="20"/>
  <c r="W37" i="20" s="1"/>
  <c r="M36" i="20"/>
  <c r="M37" i="20" s="1"/>
  <c r="U36" i="20"/>
  <c r="U37" i="20" s="1"/>
  <c r="D32" i="19"/>
  <c r="D35" i="19" s="1"/>
  <c r="E9" i="19"/>
  <c r="E32" i="19" s="1"/>
  <c r="E35" i="19" s="1"/>
  <c r="Q36" i="82"/>
  <c r="Q37" i="82" s="1"/>
  <c r="O36" i="82"/>
  <c r="O37" i="82" s="1"/>
  <c r="U36" i="82"/>
  <c r="U37" i="82" s="1"/>
  <c r="M36" i="82"/>
  <c r="M37" i="82" s="1"/>
  <c r="W36" i="82"/>
  <c r="W37" i="82" s="1"/>
  <c r="S36" i="82"/>
  <c r="S37" i="82" s="1"/>
  <c r="D32" i="78"/>
  <c r="D35" i="78" s="1"/>
  <c r="E9" i="78"/>
  <c r="E32" i="78" s="1"/>
  <c r="E35" i="78" s="1"/>
  <c r="M36" i="84"/>
  <c r="M37" i="84" s="1"/>
  <c r="U36" i="84"/>
  <c r="U37" i="84" s="1"/>
  <c r="O36" i="84"/>
  <c r="O37" i="84" s="1"/>
  <c r="W36" i="84"/>
  <c r="W37" i="84" s="1"/>
  <c r="Q36" i="84"/>
  <c r="Q37" i="84" s="1"/>
  <c r="S36" i="84"/>
  <c r="S37" i="84" s="1"/>
  <c r="W36" i="75"/>
  <c r="W37" i="75" s="1"/>
  <c r="Q36" i="75"/>
  <c r="Q37" i="75" s="1"/>
  <c r="O36" i="75"/>
  <c r="O37" i="75" s="1"/>
  <c r="S36" i="75"/>
  <c r="S37" i="75" s="1"/>
  <c r="D32" i="62"/>
  <c r="D35" i="62" s="1"/>
  <c r="E9" i="62"/>
  <c r="E32" i="62" s="1"/>
  <c r="E35" i="62" s="1"/>
  <c r="D32" i="7"/>
  <c r="D35" i="7" s="1"/>
  <c r="E9" i="7"/>
  <c r="E32" i="7" s="1"/>
  <c r="E35" i="7" s="1"/>
  <c r="D32" i="15"/>
  <c r="D35" i="15" s="1"/>
  <c r="E9" i="15"/>
  <c r="E32" i="15" s="1"/>
  <c r="E35" i="15" s="1"/>
  <c r="D32" i="79"/>
  <c r="D35" i="79" s="1"/>
  <c r="E9" i="79"/>
  <c r="E32" i="79" s="1"/>
  <c r="E35" i="79" s="1"/>
  <c r="D32" i="40"/>
  <c r="D35" i="40" s="1"/>
  <c r="E9" i="40"/>
  <c r="E32" i="40" s="1"/>
  <c r="E35" i="40" s="1"/>
  <c r="O36" i="13"/>
  <c r="O37" i="13" s="1"/>
  <c r="M36" i="13"/>
  <c r="M37" i="13" s="1"/>
  <c r="Q36" i="60"/>
  <c r="Q37" i="60" s="1"/>
  <c r="D32" i="29"/>
  <c r="D35" i="29" s="1"/>
  <c r="E9" i="29"/>
  <c r="E32" i="29" s="1"/>
  <c r="E35" i="29" s="1"/>
  <c r="S36" i="68"/>
  <c r="S37" i="68" s="1"/>
  <c r="Q36" i="86"/>
  <c r="Q37" i="86" s="1"/>
  <c r="M36" i="39"/>
  <c r="M37" i="39" s="1"/>
  <c r="U36" i="39"/>
  <c r="U37" i="39" s="1"/>
  <c r="O36" i="39"/>
  <c r="O37" i="39" s="1"/>
  <c r="S36" i="39"/>
  <c r="S37" i="39" s="1"/>
  <c r="W36" i="69"/>
  <c r="W37" i="69" s="1"/>
  <c r="U36" i="69"/>
  <c r="U37" i="69" s="1"/>
  <c r="M36" i="69"/>
  <c r="M37" i="69" s="1"/>
  <c r="S36" i="69"/>
  <c r="S37" i="69" s="1"/>
  <c r="W36" i="73"/>
  <c r="W37" i="73" s="1"/>
  <c r="S36" i="73"/>
  <c r="S37" i="73" s="1"/>
  <c r="O36" i="73"/>
  <c r="O37" i="73" s="1"/>
  <c r="M36" i="73"/>
  <c r="M37" i="73" s="1"/>
  <c r="U36" i="73"/>
  <c r="U37" i="73" s="1"/>
  <c r="S36" i="17"/>
  <c r="S37" i="17" s="1"/>
  <c r="M36" i="17"/>
  <c r="M37" i="17" s="1"/>
  <c r="W36" i="13"/>
  <c r="W37" i="13" s="1"/>
  <c r="S36" i="60"/>
  <c r="S37" i="60" s="1"/>
  <c r="D32" i="51"/>
  <c r="D35" i="51" s="1"/>
  <c r="E9" i="51"/>
  <c r="E32" i="51" s="1"/>
  <c r="E35" i="51" s="1"/>
  <c r="U36" i="68"/>
  <c r="U37" i="68" s="1"/>
  <c r="S36" i="85"/>
  <c r="S37" i="85" s="1"/>
  <c r="U36" i="37"/>
  <c r="U37" i="37" s="1"/>
  <c r="Q36" i="13"/>
  <c r="Q37" i="13" s="1"/>
  <c r="D32" i="23"/>
  <c r="D35" i="23" s="1"/>
  <c r="E9" i="23"/>
  <c r="E32" i="23" s="1"/>
  <c r="E35" i="23" s="1"/>
  <c r="D32" i="48"/>
  <c r="D35" i="48" s="1"/>
  <c r="E9" i="48"/>
  <c r="E32" i="48" s="1"/>
  <c r="E35" i="48" s="1"/>
  <c r="D32" i="59"/>
  <c r="D35" i="59" s="1"/>
  <c r="E9" i="59"/>
  <c r="E32" i="59" s="1"/>
  <c r="E35" i="59" s="1"/>
  <c r="D32" i="32"/>
  <c r="D35" i="32" s="1"/>
  <c r="E9" i="32"/>
  <c r="E32" i="32" s="1"/>
  <c r="E35" i="32" s="1"/>
  <c r="D32" i="6"/>
  <c r="D35" i="6" s="1"/>
  <c r="E9" i="6"/>
  <c r="E32" i="6" s="1"/>
  <c r="E35" i="6" s="1"/>
  <c r="D32" i="61"/>
  <c r="D35" i="61" s="1"/>
  <c r="E9" i="61"/>
  <c r="E32" i="61" s="1"/>
  <c r="E35" i="61" s="1"/>
  <c r="D32" i="30"/>
  <c r="D35" i="30" s="1"/>
  <c r="E9" i="30"/>
  <c r="E32" i="30" s="1"/>
  <c r="E35" i="30" s="1"/>
  <c r="S36" i="42"/>
  <c r="S37" i="42" s="1"/>
  <c r="M36" i="42"/>
  <c r="M37" i="42" s="1"/>
  <c r="W36" i="42"/>
  <c r="W37" i="42" s="1"/>
  <c r="O36" i="24"/>
  <c r="O37" i="24" s="1"/>
  <c r="S36" i="24"/>
  <c r="S37" i="24" s="1"/>
  <c r="Q36" i="24"/>
  <c r="Q37" i="24" s="1"/>
  <c r="M36" i="24"/>
  <c r="M37" i="24" s="1"/>
  <c r="S36" i="36"/>
  <c r="S37" i="36" s="1"/>
  <c r="U36" i="10"/>
  <c r="U37" i="10" s="1"/>
  <c r="M36" i="46"/>
  <c r="M37" i="46" s="1"/>
  <c r="S36" i="46"/>
  <c r="S37" i="46" s="1"/>
  <c r="O36" i="46"/>
  <c r="O37" i="46" s="1"/>
  <c r="Q36" i="46"/>
  <c r="Q37" i="46" s="1"/>
  <c r="U36" i="46"/>
  <c r="U37" i="46" s="1"/>
  <c r="W36" i="64"/>
  <c r="W37" i="64" s="1"/>
  <c r="Q36" i="64"/>
  <c r="Q37" i="64" s="1"/>
  <c r="M36" i="64"/>
  <c r="M37" i="64" s="1"/>
  <c r="W36" i="38"/>
  <c r="W37" i="38" s="1"/>
  <c r="Q36" i="38"/>
  <c r="Q37" i="38" s="1"/>
  <c r="S36" i="38"/>
  <c r="S37" i="38" s="1"/>
  <c r="M36" i="38"/>
  <c r="M37" i="38" s="1"/>
  <c r="O36" i="38"/>
  <c r="O37" i="38" s="1"/>
  <c r="O36" i="63"/>
  <c r="O37" i="63" s="1"/>
  <c r="S36" i="63"/>
  <c r="S37" i="63" s="1"/>
  <c r="U36" i="63"/>
  <c r="U37" i="63" s="1"/>
  <c r="Q36" i="63"/>
  <c r="Q37" i="63" s="1"/>
  <c r="M36" i="63"/>
  <c r="M37" i="63" s="1"/>
  <c r="M36" i="60"/>
  <c r="M37" i="60" s="1"/>
  <c r="W36" i="60"/>
  <c r="W37" i="60" s="1"/>
  <c r="O36" i="42"/>
  <c r="O37" i="42" s="1"/>
  <c r="D32" i="57"/>
  <c r="D35" i="57" s="1"/>
  <c r="E9" i="57"/>
  <c r="E32" i="57" s="1"/>
  <c r="E35" i="57" s="1"/>
  <c r="M36" i="71"/>
  <c r="M37" i="71" s="1"/>
  <c r="O36" i="71"/>
  <c r="O37" i="71" s="1"/>
  <c r="S36" i="71"/>
  <c r="S37" i="71" s="1"/>
  <c r="U36" i="71"/>
  <c r="U37" i="71" s="1"/>
  <c r="Q36" i="71"/>
  <c r="Q37" i="71" s="1"/>
  <c r="W36" i="71"/>
  <c r="W37" i="71" s="1"/>
  <c r="D32" i="31"/>
  <c r="D35" i="31" s="1"/>
  <c r="E9" i="31"/>
  <c r="E32" i="31" s="1"/>
  <c r="E35" i="31" s="1"/>
  <c r="S36" i="45"/>
  <c r="S37" i="45" s="1"/>
  <c r="M36" i="45"/>
  <c r="M37" i="45" s="1"/>
  <c r="U36" i="45"/>
  <c r="U37" i="45" s="1"/>
  <c r="W36" i="45"/>
  <c r="W37" i="45" s="1"/>
  <c r="Q36" i="45"/>
  <c r="Q37" i="45" s="1"/>
  <c r="D32" i="33"/>
  <c r="D35" i="33" s="1"/>
  <c r="E9" i="33"/>
  <c r="E32" i="33" s="1"/>
  <c r="E35" i="33" s="1"/>
  <c r="D32" i="50"/>
  <c r="D35" i="50" s="1"/>
  <c r="E9" i="50"/>
  <c r="E32" i="50" s="1"/>
  <c r="E35" i="50" s="1"/>
  <c r="D32" i="12"/>
  <c r="D35" i="12" s="1"/>
  <c r="E9" i="12"/>
  <c r="E32" i="12" s="1"/>
  <c r="E35" i="12" s="1"/>
  <c r="W36" i="9" l="1"/>
  <c r="W37" i="9" s="1"/>
  <c r="O36" i="9"/>
  <c r="O37" i="9" s="1"/>
  <c r="S36" i="16"/>
  <c r="S37" i="16" s="1"/>
  <c r="Q36" i="16"/>
  <c r="Q37" i="16" s="1"/>
  <c r="W36" i="16"/>
  <c r="W37" i="16" s="1"/>
  <c r="M36" i="16"/>
  <c r="M37" i="16" s="1"/>
  <c r="O36" i="16"/>
  <c r="O37" i="16" s="1"/>
  <c r="Q36" i="17"/>
  <c r="Q37" i="17" s="1"/>
  <c r="W36" i="17"/>
  <c r="W37" i="17" s="1"/>
  <c r="O36" i="17"/>
  <c r="O37" i="17" s="1"/>
  <c r="U36" i="17"/>
  <c r="U37" i="17" s="1"/>
  <c r="U36" i="16"/>
  <c r="U37" i="16" s="1"/>
  <c r="S36" i="29"/>
  <c r="S37" i="29" s="1"/>
  <c r="Q36" i="29"/>
  <c r="Q37" i="29" s="1"/>
  <c r="O36" i="29"/>
  <c r="O37" i="29" s="1"/>
  <c r="W36" i="29"/>
  <c r="W37" i="29" s="1"/>
  <c r="M36" i="29"/>
  <c r="M37" i="29" s="1"/>
  <c r="U36" i="29"/>
  <c r="U37" i="29" s="1"/>
  <c r="Q36" i="47"/>
  <c r="Q37" i="47" s="1"/>
  <c r="O36" i="47"/>
  <c r="O37" i="47" s="1"/>
  <c r="U36" i="47"/>
  <c r="U37" i="47" s="1"/>
  <c r="W36" i="47"/>
  <c r="W37" i="47" s="1"/>
  <c r="M36" i="47"/>
  <c r="M37" i="47" s="1"/>
  <c r="S36" i="47"/>
  <c r="S37" i="47" s="1"/>
  <c r="S36" i="31"/>
  <c r="S37" i="31" s="1"/>
  <c r="O36" i="31"/>
  <c r="O37" i="31" s="1"/>
  <c r="U36" i="31"/>
  <c r="U37" i="31" s="1"/>
  <c r="W36" i="31"/>
  <c r="W37" i="31" s="1"/>
  <c r="Q36" i="31"/>
  <c r="Q37" i="31" s="1"/>
  <c r="M36" i="31"/>
  <c r="M37" i="31" s="1"/>
  <c r="Q36" i="59"/>
  <c r="Q37" i="59" s="1"/>
  <c r="M36" i="59"/>
  <c r="M37" i="59" s="1"/>
  <c r="U36" i="59"/>
  <c r="U37" i="59" s="1"/>
  <c r="S36" i="59"/>
  <c r="S37" i="59" s="1"/>
  <c r="O36" i="59"/>
  <c r="O37" i="59" s="1"/>
  <c r="W36" i="59"/>
  <c r="W37" i="59" s="1"/>
  <c r="Q36" i="19"/>
  <c r="Q37" i="19" s="1"/>
  <c r="M36" i="19"/>
  <c r="M37" i="19" s="1"/>
  <c r="S36" i="19"/>
  <c r="S37" i="19" s="1"/>
  <c r="O36" i="19"/>
  <c r="O37" i="19" s="1"/>
  <c r="U36" i="19"/>
  <c r="U37" i="19" s="1"/>
  <c r="W36" i="19"/>
  <c r="W37" i="19" s="1"/>
  <c r="U36" i="18"/>
  <c r="U37" i="18" s="1"/>
  <c r="S36" i="18"/>
  <c r="S37" i="18" s="1"/>
  <c r="Q36" i="18"/>
  <c r="Q37" i="18" s="1"/>
  <c r="W36" i="18"/>
  <c r="W37" i="18" s="1"/>
  <c r="M36" i="18"/>
  <c r="M37" i="18" s="1"/>
  <c r="O36" i="18"/>
  <c r="O37" i="18" s="1"/>
  <c r="U36" i="14"/>
  <c r="U37" i="14" s="1"/>
  <c r="W36" i="14"/>
  <c r="W37" i="14" s="1"/>
  <c r="M36" i="14"/>
  <c r="M37" i="14" s="1"/>
  <c r="S36" i="14"/>
  <c r="S37" i="14" s="1"/>
  <c r="Q36" i="14"/>
  <c r="Q37" i="14" s="1"/>
  <c r="O36" i="14"/>
  <c r="O37" i="14" s="1"/>
  <c r="Q36" i="27"/>
  <c r="Q37" i="27" s="1"/>
  <c r="O36" i="27"/>
  <c r="O37" i="27" s="1"/>
  <c r="W36" i="27"/>
  <c r="W37" i="27" s="1"/>
  <c r="S36" i="27"/>
  <c r="S37" i="27" s="1"/>
  <c r="U36" i="27"/>
  <c r="U37" i="27" s="1"/>
  <c r="M36" i="27"/>
  <c r="M37" i="27" s="1"/>
  <c r="U36" i="80"/>
  <c r="U37" i="80" s="1"/>
  <c r="Q36" i="80"/>
  <c r="Q37" i="80" s="1"/>
  <c r="O36" i="80"/>
  <c r="O37" i="80" s="1"/>
  <c r="S36" i="80"/>
  <c r="S37" i="80" s="1"/>
  <c r="W36" i="80"/>
  <c r="W37" i="80" s="1"/>
  <c r="M36" i="80"/>
  <c r="M37" i="80" s="1"/>
  <c r="S36" i="12"/>
  <c r="S37" i="12" s="1"/>
  <c r="Q36" i="12"/>
  <c r="Q37" i="12" s="1"/>
  <c r="O36" i="12"/>
  <c r="O37" i="12" s="1"/>
  <c r="M36" i="12"/>
  <c r="M37" i="12" s="1"/>
  <c r="U36" i="12"/>
  <c r="U37" i="12" s="1"/>
  <c r="W36" i="12"/>
  <c r="W37" i="12" s="1"/>
  <c r="O36" i="48"/>
  <c r="O37" i="48" s="1"/>
  <c r="W36" i="48"/>
  <c r="W37" i="48" s="1"/>
  <c r="M36" i="48"/>
  <c r="M37" i="48" s="1"/>
  <c r="Q36" i="48"/>
  <c r="Q37" i="48" s="1"/>
  <c r="S36" i="48"/>
  <c r="S37" i="48" s="1"/>
  <c r="U36" i="48"/>
  <c r="U37" i="48" s="1"/>
  <c r="Q36" i="35"/>
  <c r="Q37" i="35" s="1"/>
  <c r="U36" i="35"/>
  <c r="U37" i="35" s="1"/>
  <c r="O36" i="35"/>
  <c r="O37" i="35" s="1"/>
  <c r="S36" i="35"/>
  <c r="S37" i="35" s="1"/>
  <c r="W36" i="35"/>
  <c r="W37" i="35" s="1"/>
  <c r="M36" i="35"/>
  <c r="M37" i="35" s="1"/>
  <c r="W36" i="74"/>
  <c r="W37" i="74" s="1"/>
  <c r="S36" i="74"/>
  <c r="S37" i="74" s="1"/>
  <c r="U36" i="74"/>
  <c r="U37" i="74" s="1"/>
  <c r="O36" i="74"/>
  <c r="O37" i="74" s="1"/>
  <c r="Q36" i="74"/>
  <c r="Q37" i="74" s="1"/>
  <c r="M36" i="74"/>
  <c r="M37" i="74" s="1"/>
  <c r="Q36" i="21"/>
  <c r="Q37" i="21" s="1"/>
  <c r="O36" i="21"/>
  <c r="O37" i="21" s="1"/>
  <c r="U36" i="21"/>
  <c r="U37" i="21" s="1"/>
  <c r="S36" i="21"/>
  <c r="S37" i="21" s="1"/>
  <c r="M36" i="21"/>
  <c r="M37" i="21" s="1"/>
  <c r="W36" i="21"/>
  <c r="W37" i="21" s="1"/>
  <c r="W36" i="52"/>
  <c r="W37" i="52" s="1"/>
  <c r="S36" i="52"/>
  <c r="S37" i="52" s="1"/>
  <c r="M36" i="52"/>
  <c r="M37" i="52" s="1"/>
  <c r="Q36" i="52"/>
  <c r="Q37" i="52" s="1"/>
  <c r="U36" i="52"/>
  <c r="U37" i="52" s="1"/>
  <c r="O36" i="52"/>
  <c r="O37" i="52" s="1"/>
  <c r="S36" i="34"/>
  <c r="S37" i="34" s="1"/>
  <c r="W36" i="34"/>
  <c r="W37" i="34" s="1"/>
  <c r="U36" i="34"/>
  <c r="U37" i="34" s="1"/>
  <c r="O36" i="34"/>
  <c r="O37" i="34" s="1"/>
  <c r="M36" i="34"/>
  <c r="M37" i="34" s="1"/>
  <c r="Q36" i="34"/>
  <c r="Q37" i="34" s="1"/>
  <c r="W36" i="23"/>
  <c r="W37" i="23" s="1"/>
  <c r="O36" i="23"/>
  <c r="O37" i="23" s="1"/>
  <c r="S36" i="23"/>
  <c r="S37" i="23" s="1"/>
  <c r="M36" i="23"/>
  <c r="M37" i="23" s="1"/>
  <c r="U36" i="23"/>
  <c r="U37" i="23" s="1"/>
  <c r="Q36" i="23"/>
  <c r="Q37" i="23" s="1"/>
  <c r="Q36" i="30"/>
  <c r="Q37" i="30" s="1"/>
  <c r="W36" i="30"/>
  <c r="W37" i="30" s="1"/>
  <c r="O36" i="30"/>
  <c r="O37" i="30" s="1"/>
  <c r="M36" i="30"/>
  <c r="M37" i="30" s="1"/>
  <c r="U36" i="30"/>
  <c r="U37" i="30" s="1"/>
  <c r="S36" i="30"/>
  <c r="S37" i="30" s="1"/>
  <c r="U36" i="26"/>
  <c r="U37" i="26" s="1"/>
  <c r="S36" i="26"/>
  <c r="S37" i="26" s="1"/>
  <c r="W36" i="26"/>
  <c r="W37" i="26" s="1"/>
  <c r="Q36" i="26"/>
  <c r="Q37" i="26" s="1"/>
  <c r="O36" i="26"/>
  <c r="O37" i="26" s="1"/>
  <c r="M36" i="26"/>
  <c r="M37" i="26" s="1"/>
  <c r="O36" i="66"/>
  <c r="O37" i="66" s="1"/>
  <c r="S36" i="66"/>
  <c r="S37" i="66" s="1"/>
  <c r="W36" i="66"/>
  <c r="W37" i="66" s="1"/>
  <c r="U36" i="66"/>
  <c r="U37" i="66" s="1"/>
  <c r="Q36" i="66"/>
  <c r="Q37" i="66" s="1"/>
  <c r="M36" i="66"/>
  <c r="M37" i="66" s="1"/>
  <c r="O36" i="50"/>
  <c r="O37" i="50" s="1"/>
  <c r="U36" i="50"/>
  <c r="U37" i="50" s="1"/>
  <c r="Q36" i="50"/>
  <c r="Q37" i="50" s="1"/>
  <c r="S36" i="50"/>
  <c r="S37" i="50" s="1"/>
  <c r="W36" i="50"/>
  <c r="W37" i="50" s="1"/>
  <c r="M36" i="50"/>
  <c r="M37" i="50" s="1"/>
  <c r="Q36" i="67"/>
  <c r="Q37" i="67" s="1"/>
  <c r="O36" i="67"/>
  <c r="O37" i="67" s="1"/>
  <c r="W36" i="67"/>
  <c r="W37" i="67" s="1"/>
  <c r="U36" i="67"/>
  <c r="U37" i="67" s="1"/>
  <c r="M36" i="67"/>
  <c r="M37" i="67" s="1"/>
  <c r="S36" i="67"/>
  <c r="S37" i="67" s="1"/>
  <c r="W36" i="40"/>
  <c r="W37" i="40" s="1"/>
  <c r="U36" i="40"/>
  <c r="U37" i="40" s="1"/>
  <c r="S36" i="40"/>
  <c r="S37" i="40" s="1"/>
  <c r="O36" i="40"/>
  <c r="O37" i="40" s="1"/>
  <c r="M36" i="40"/>
  <c r="M37" i="40" s="1"/>
  <c r="Q36" i="40"/>
  <c r="Q37" i="40" s="1"/>
  <c r="S36" i="79"/>
  <c r="S37" i="79" s="1"/>
  <c r="W36" i="79"/>
  <c r="W37" i="79" s="1"/>
  <c r="U36" i="79"/>
  <c r="U37" i="79" s="1"/>
  <c r="O36" i="79"/>
  <c r="O37" i="79" s="1"/>
  <c r="Q36" i="79"/>
  <c r="Q37" i="79" s="1"/>
  <c r="M36" i="79"/>
  <c r="M37" i="79" s="1"/>
  <c r="Q36" i="57"/>
  <c r="Q37" i="57" s="1"/>
  <c r="M36" i="57"/>
  <c r="M37" i="57" s="1"/>
  <c r="S36" i="57"/>
  <c r="S37" i="57" s="1"/>
  <c r="W36" i="57"/>
  <c r="W37" i="57" s="1"/>
  <c r="O36" i="57"/>
  <c r="O37" i="57" s="1"/>
  <c r="U36" i="57"/>
  <c r="U37" i="57" s="1"/>
  <c r="W36" i="61"/>
  <c r="W37" i="61" s="1"/>
  <c r="O36" i="61"/>
  <c r="O37" i="61" s="1"/>
  <c r="S36" i="61"/>
  <c r="S37" i="61" s="1"/>
  <c r="U36" i="61"/>
  <c r="U37" i="61" s="1"/>
  <c r="Q36" i="61"/>
  <c r="Q37" i="61" s="1"/>
  <c r="M36" i="61"/>
  <c r="M37" i="61" s="1"/>
  <c r="Q36" i="51"/>
  <c r="Q37" i="51" s="1"/>
  <c r="W36" i="51"/>
  <c r="W37" i="51" s="1"/>
  <c r="S36" i="51"/>
  <c r="S37" i="51" s="1"/>
  <c r="M36" i="51"/>
  <c r="M37" i="51" s="1"/>
  <c r="O36" i="51"/>
  <c r="O37" i="51" s="1"/>
  <c r="U36" i="51"/>
  <c r="U37" i="51" s="1"/>
  <c r="U36" i="7"/>
  <c r="U37" i="7" s="1"/>
  <c r="W36" i="7"/>
  <c r="W37" i="7" s="1"/>
  <c r="Q36" i="7"/>
  <c r="Q37" i="7" s="1"/>
  <c r="M36" i="7"/>
  <c r="M37" i="7" s="1"/>
  <c r="O36" i="7"/>
  <c r="O37" i="7" s="1"/>
  <c r="S36" i="7"/>
  <c r="S37" i="7" s="1"/>
  <c r="U36" i="58"/>
  <c r="U37" i="58" s="1"/>
  <c r="O36" i="58"/>
  <c r="O37" i="58" s="1"/>
  <c r="Q36" i="58"/>
  <c r="Q37" i="58" s="1"/>
  <c r="S36" i="58"/>
  <c r="S37" i="58" s="1"/>
  <c r="M36" i="58"/>
  <c r="M37" i="58" s="1"/>
  <c r="W36" i="58"/>
  <c r="W37" i="58" s="1"/>
  <c r="Q36" i="54"/>
  <c r="Q37" i="54" s="1"/>
  <c r="U36" i="54"/>
  <c r="U37" i="54" s="1"/>
  <c r="W36" i="54"/>
  <c r="W37" i="54" s="1"/>
  <c r="O36" i="54"/>
  <c r="O37" i="54" s="1"/>
  <c r="S36" i="54"/>
  <c r="S37" i="54" s="1"/>
  <c r="M36" i="54"/>
  <c r="M37" i="54" s="1"/>
  <c r="O36" i="77"/>
  <c r="O37" i="77" s="1"/>
  <c r="Q36" i="77"/>
  <c r="Q37" i="77" s="1"/>
  <c r="S36" i="77"/>
  <c r="S37" i="77" s="1"/>
  <c r="U36" i="77"/>
  <c r="U37" i="77" s="1"/>
  <c r="W36" i="77"/>
  <c r="W37" i="77" s="1"/>
  <c r="M36" i="77"/>
  <c r="M37" i="77" s="1"/>
  <c r="O36" i="62"/>
  <c r="O37" i="62" s="1"/>
  <c r="U36" i="62"/>
  <c r="U37" i="62" s="1"/>
  <c r="Q36" i="62"/>
  <c r="Q37" i="62" s="1"/>
  <c r="S36" i="62"/>
  <c r="S37" i="62" s="1"/>
  <c r="M36" i="62"/>
  <c r="M37" i="62" s="1"/>
  <c r="W36" i="62"/>
  <c r="W37" i="62" s="1"/>
  <c r="U36" i="44"/>
  <c r="U37" i="44" s="1"/>
  <c r="W36" i="44"/>
  <c r="W37" i="44" s="1"/>
  <c r="Q36" i="44"/>
  <c r="Q37" i="44" s="1"/>
  <c r="O36" i="44"/>
  <c r="O37" i="44" s="1"/>
  <c r="S36" i="44"/>
  <c r="S37" i="44" s="1"/>
  <c r="M36" i="44"/>
  <c r="M37" i="44" s="1"/>
  <c r="Q36" i="43"/>
  <c r="Q37" i="43" s="1"/>
  <c r="S36" i="43"/>
  <c r="S37" i="43" s="1"/>
  <c r="U36" i="43"/>
  <c r="U37" i="43" s="1"/>
  <c r="O36" i="43"/>
  <c r="O37" i="43" s="1"/>
  <c r="W36" i="43"/>
  <c r="W37" i="43" s="1"/>
  <c r="M36" i="43"/>
  <c r="M37" i="43" s="1"/>
  <c r="O36" i="78"/>
  <c r="O37" i="78" s="1"/>
  <c r="S36" i="78"/>
  <c r="S37" i="78" s="1"/>
  <c r="U36" i="78"/>
  <c r="U37" i="78" s="1"/>
  <c r="M36" i="78"/>
  <c r="M37" i="78" s="1"/>
  <c r="Q36" i="78"/>
  <c r="Q37" i="78" s="1"/>
  <c r="W36" i="78"/>
  <c r="W37" i="78" s="1"/>
  <c r="W36" i="33"/>
  <c r="W37" i="33" s="1"/>
  <c r="S36" i="33"/>
  <c r="S37" i="33" s="1"/>
  <c r="O36" i="33"/>
  <c r="O37" i="33" s="1"/>
  <c r="M36" i="33"/>
  <c r="M37" i="33" s="1"/>
  <c r="U36" i="33"/>
  <c r="U37" i="33" s="1"/>
  <c r="Q36" i="33"/>
  <c r="Q37" i="33" s="1"/>
  <c r="W36" i="6"/>
  <c r="W37" i="6" s="1"/>
  <c r="M36" i="6"/>
  <c r="M37" i="6" s="1"/>
  <c r="U36" i="6"/>
  <c r="U37" i="6" s="1"/>
  <c r="O36" i="6"/>
  <c r="O37" i="6" s="1"/>
  <c r="Q36" i="6"/>
  <c r="Q37" i="6" s="1"/>
  <c r="S36" i="6"/>
  <c r="S37" i="6" s="1"/>
  <c r="S36" i="49"/>
  <c r="S37" i="49" s="1"/>
  <c r="W36" i="49"/>
  <c r="W37" i="49" s="1"/>
  <c r="U36" i="49"/>
  <c r="U37" i="49" s="1"/>
  <c r="Q36" i="49"/>
  <c r="Q37" i="49" s="1"/>
  <c r="O36" i="49"/>
  <c r="O37" i="49" s="1"/>
  <c r="M36" i="49"/>
  <c r="M37" i="49" s="1"/>
  <c r="U36" i="15"/>
  <c r="U37" i="15" s="1"/>
  <c r="S36" i="15"/>
  <c r="S37" i="15" s="1"/>
  <c r="Q36" i="15"/>
  <c r="Q37" i="15" s="1"/>
  <c r="W36" i="15"/>
  <c r="W37" i="15" s="1"/>
  <c r="M36" i="15"/>
  <c r="M37" i="15" s="1"/>
  <c r="O36" i="15"/>
  <c r="O37" i="15" s="1"/>
  <c r="Q36" i="32"/>
  <c r="Q37" i="32" s="1"/>
  <c r="S36" i="32"/>
  <c r="S37" i="32" s="1"/>
  <c r="M36" i="32"/>
  <c r="M37" i="32" s="1"/>
  <c r="U36" i="32"/>
  <c r="U37" i="32" s="1"/>
  <c r="O36" i="32"/>
  <c r="O37" i="32" s="1"/>
  <c r="W36" i="32"/>
  <c r="W37" i="32" s="1"/>
  <c r="Q36" i="8"/>
  <c r="Q37" i="8" s="1"/>
  <c r="W36" i="8"/>
  <c r="W37" i="8" s="1"/>
  <c r="U36" i="8"/>
  <c r="U37" i="8" s="1"/>
  <c r="O36" i="8"/>
  <c r="O37" i="8" s="1"/>
  <c r="M36" i="8"/>
  <c r="M37" i="8" s="1"/>
  <c r="S36" i="8"/>
  <c r="S37" i="8" s="1"/>
  <c r="S36" i="53"/>
  <c r="S37" i="53" s="1"/>
  <c r="U36" i="53"/>
  <c r="U37" i="53" s="1"/>
  <c r="W36" i="53"/>
  <c r="W37" i="53" s="1"/>
  <c r="M36" i="53"/>
  <c r="M37" i="53" s="1"/>
  <c r="Q36" i="53"/>
  <c r="Q37" i="53" s="1"/>
  <c r="O36" i="53"/>
  <c r="O37" i="5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<sst xmlns="http://schemas.openxmlformats.org/spreadsheetml/2006/main" count="4245" uniqueCount="507">
  <si>
    <t>Project Owner:</t>
  </si>
  <si>
    <t>PROJECT NAME:</t>
  </si>
  <si>
    <t>NAME</t>
  </si>
  <si>
    <t>PROJECT DATE:</t>
  </si>
  <si>
    <t>DATE</t>
  </si>
  <si>
    <t>Project Address:</t>
  </si>
  <si>
    <t>Project Sqft:</t>
  </si>
  <si>
    <t>Division</t>
  </si>
  <si>
    <t>Worksheet Name</t>
  </si>
  <si>
    <t>Link</t>
  </si>
  <si>
    <t>02</t>
  </si>
  <si>
    <t>02-4100 Demolition</t>
  </si>
  <si>
    <t>02-9005 Final Clean</t>
  </si>
  <si>
    <t>02-9200 Survey</t>
  </si>
  <si>
    <t>03</t>
  </si>
  <si>
    <t>03-3000 Concrete</t>
  </si>
  <si>
    <t>03-4100 Precast Conc</t>
  </si>
  <si>
    <t>03-5413 Gypcrete</t>
  </si>
  <si>
    <t>04</t>
  </si>
  <si>
    <t>04-0000 Masonry</t>
  </si>
  <si>
    <t>05</t>
  </si>
  <si>
    <t>05-1200 Struct Steel</t>
  </si>
  <si>
    <t>05-7210 Alum Decks</t>
  </si>
  <si>
    <t>06</t>
  </si>
  <si>
    <t>06-1000 Rough Carp</t>
  </si>
  <si>
    <t>06-2000 Finish Carp</t>
  </si>
  <si>
    <t>06-2200 Millwork</t>
  </si>
  <si>
    <t>06-4100 Arch Casework</t>
  </si>
  <si>
    <t>06-6116 Solid Surfaces</t>
  </si>
  <si>
    <t>06-8700 Pergolas</t>
  </si>
  <si>
    <t>07</t>
  </si>
  <si>
    <t>07-1000 Waterproofing</t>
  </si>
  <si>
    <t>07-2100 Insulation</t>
  </si>
  <si>
    <t>07-2500 Weather Barrier</t>
  </si>
  <si>
    <t>07-3113 Asphalt Shingles</t>
  </si>
  <si>
    <t>07-4213 Metal Panel Siding</t>
  </si>
  <si>
    <t>07-4600 Siding</t>
  </si>
  <si>
    <t>07-5000 Membrane Roofing</t>
  </si>
  <si>
    <t>07-7600 Roof Pavers</t>
  </si>
  <si>
    <t>07-6200 Metal Flashing</t>
  </si>
  <si>
    <t>07-8100 Fire Proofing</t>
  </si>
  <si>
    <t>07-9200 Joint Sealants</t>
  </si>
  <si>
    <t>08</t>
  </si>
  <si>
    <t>08-1000 Doors, Frames, HW</t>
  </si>
  <si>
    <t>08-3113 Access Panels</t>
  </si>
  <si>
    <t>08-3613 Overhead Doors</t>
  </si>
  <si>
    <t>08-4000 Alum Entr &amp; Storefronts</t>
  </si>
  <si>
    <t>08-5413 Windows &amp; Patio Doors</t>
  </si>
  <si>
    <t>08-8330 Mirrors</t>
  </si>
  <si>
    <t>09</t>
  </si>
  <si>
    <t>09-2116 Gypsum Board Assemblies</t>
  </si>
  <si>
    <t>09-2216 Steel Studs</t>
  </si>
  <si>
    <t>09-3000 Tile</t>
  </si>
  <si>
    <t>09-5113 Acoustical Tile Ceiling</t>
  </si>
  <si>
    <t>09-6400 Wood Flooring</t>
  </si>
  <si>
    <t>09-6500 Resilient Flooring</t>
  </si>
  <si>
    <t>09-6600 Terrazzo Flooring</t>
  </si>
  <si>
    <t>09-6800 Carpeting</t>
  </si>
  <si>
    <t>09-9000 Painting and Coatings</t>
  </si>
  <si>
    <t>10</t>
  </si>
  <si>
    <t>10-0000 Specialties</t>
  </si>
  <si>
    <t>10-1400 Signage</t>
  </si>
  <si>
    <t>10-2213 Wire Mesh Stor Cag</t>
  </si>
  <si>
    <t>10-2800 Toilet Accessories</t>
  </si>
  <si>
    <t>10-2819 Tub &amp; Shower Doors</t>
  </si>
  <si>
    <t>10-3100 Fireplaces</t>
  </si>
  <si>
    <t>10-3110 Fire Pits</t>
  </si>
  <si>
    <t>10-5500 Postal Specialties</t>
  </si>
  <si>
    <t>10-5623 Closet Shelving</t>
  </si>
  <si>
    <t>10-7313 Awnings &amp; Canopies</t>
  </si>
  <si>
    <t>10-9000 Golf Simulator</t>
  </si>
  <si>
    <t>11</t>
  </si>
  <si>
    <t>11-2423 Window Washing Systems</t>
  </si>
  <si>
    <t>11-3100 Appliances</t>
  </si>
  <si>
    <t>11-6700 Recreational Equip</t>
  </si>
  <si>
    <t>11-8216 Trash Compactors</t>
  </si>
  <si>
    <t>12</t>
  </si>
  <si>
    <t>12-2000 Window Treatments</t>
  </si>
  <si>
    <t>12-3530 Residential Casework</t>
  </si>
  <si>
    <t>12-3640 Residential Countertops</t>
  </si>
  <si>
    <t>12-4813 Entrance Floor Mats</t>
  </si>
  <si>
    <t>12-9313 Bike Racks</t>
  </si>
  <si>
    <t>13</t>
  </si>
  <si>
    <t>13-1100 Swimming Pools &amp; Spas</t>
  </si>
  <si>
    <t>13-1900 Pet Equipment</t>
  </si>
  <si>
    <t>13-2416 Saunas</t>
  </si>
  <si>
    <t>14</t>
  </si>
  <si>
    <t>14-2000 Elevators</t>
  </si>
  <si>
    <t>14-9182 Trash Chute</t>
  </si>
  <si>
    <t>21</t>
  </si>
  <si>
    <t>21-0000 Fire Suppression</t>
  </si>
  <si>
    <t>22</t>
  </si>
  <si>
    <t>22-0000 Plumbing</t>
  </si>
  <si>
    <t>23</t>
  </si>
  <si>
    <t>23-0000 HVAC</t>
  </si>
  <si>
    <t>26</t>
  </si>
  <si>
    <t>26-0000 Electrical</t>
  </si>
  <si>
    <t>27</t>
  </si>
  <si>
    <t>27-2000 Data Communication</t>
  </si>
  <si>
    <t>27-4000 AV</t>
  </si>
  <si>
    <t>28</t>
  </si>
  <si>
    <t>28-1300 Access Control</t>
  </si>
  <si>
    <t>28-3000 Video Surveillanc</t>
  </si>
  <si>
    <t>28-4600 Fire Detection &amp; Alarm</t>
  </si>
  <si>
    <t>31</t>
  </si>
  <si>
    <t>31-0000 Earthwork</t>
  </si>
  <si>
    <t>32</t>
  </si>
  <si>
    <t>32-1216 Asphalt Paving</t>
  </si>
  <si>
    <t>32-1313 Site Concrete</t>
  </si>
  <si>
    <t>32-1400 Unit Pavers</t>
  </si>
  <si>
    <t>32-1813 Artificial Turf</t>
  </si>
  <si>
    <t>32-3100 Fences &amp; Gates</t>
  </si>
  <si>
    <t>32-3200 Retaining Wall</t>
  </si>
  <si>
    <t>32-9000 Landscaping &amp; Irrigation</t>
  </si>
  <si>
    <t>33</t>
  </si>
  <si>
    <t>33-0000 Utilities</t>
  </si>
  <si>
    <t>INDEX</t>
  </si>
  <si>
    <t>TYPE OF WORK:</t>
  </si>
  <si>
    <t>Apparent Low:</t>
  </si>
  <si>
    <t>VENDOR NUMBER</t>
  </si>
  <si>
    <t>NAME:</t>
  </si>
  <si>
    <t>CONTACT:</t>
  </si>
  <si>
    <t>PHONE:</t>
  </si>
  <si>
    <t>EMAIL:</t>
  </si>
  <si>
    <t>BUDGET:</t>
  </si>
  <si>
    <t>DATE:</t>
  </si>
  <si>
    <t>LABOR</t>
  </si>
  <si>
    <t>MATERIAL</t>
  </si>
  <si>
    <t>SUB</t>
  </si>
  <si>
    <t>TOTAL</t>
  </si>
  <si>
    <t>COST CODE</t>
  </si>
  <si>
    <t>ITEM DESCRIPTION</t>
  </si>
  <si>
    <t>QUANTITY</t>
  </si>
  <si>
    <t>UNIT</t>
  </si>
  <si>
    <t>PRICE</t>
  </si>
  <si>
    <t>LOW</t>
  </si>
  <si>
    <t>00-0000</t>
  </si>
  <si>
    <t>Blank</t>
  </si>
  <si>
    <t>SUBTOTAL</t>
  </si>
  <si>
    <t>TAX RATE %</t>
  </si>
  <si>
    <t>TOTAL TAX</t>
  </si>
  <si>
    <t>GRAND TOTAL</t>
  </si>
  <si>
    <t>BUDGET - OVER/(UNDER)</t>
  </si>
  <si>
    <t>BUDGET - OVER/(UNDER) %</t>
  </si>
  <si>
    <t>TAX RATE</t>
  </si>
  <si>
    <t>02-4100</t>
  </si>
  <si>
    <t>Demolition</t>
  </si>
  <si>
    <t>Floor grinding</t>
  </si>
  <si>
    <t>02-9005</t>
  </si>
  <si>
    <t>Final Clean</t>
  </si>
  <si>
    <t>3 Cleans</t>
  </si>
  <si>
    <t>Rough Clean</t>
  </si>
  <si>
    <t>Shine Clean</t>
  </si>
  <si>
    <t>Exterior window cleaning</t>
  </si>
  <si>
    <t>Sweep and powerwash garage up 4'</t>
  </si>
  <si>
    <t>02-9200</t>
  </si>
  <si>
    <t>Survey</t>
  </si>
  <si>
    <t>Grading</t>
  </si>
  <si>
    <t>Utilities</t>
  </si>
  <si>
    <t>Concrete Sidwalk</t>
  </si>
  <si>
    <t>Building staking</t>
  </si>
  <si>
    <t>Grid lines</t>
  </si>
  <si>
    <t>Piles</t>
  </si>
  <si>
    <t>03-3000</t>
  </si>
  <si>
    <t>Concrete</t>
  </si>
  <si>
    <t>SOG</t>
  </si>
  <si>
    <t>Stoops</t>
  </si>
  <si>
    <t>Concrete piers at pads for winter</t>
  </si>
  <si>
    <t>Amenity deck sloping slab</t>
  </si>
  <si>
    <t>Amenity deck topping slab</t>
  </si>
  <si>
    <t>Insulation at amenity deck (6" by others)</t>
  </si>
  <si>
    <t>Built up slabs including insulation</t>
  </si>
  <si>
    <t>Concrete filled pan stairs</t>
  </si>
  <si>
    <t>Precast topping - Average ?????</t>
  </si>
  <si>
    <t>03-4100</t>
  </si>
  <si>
    <t>Precast Concrete</t>
  </si>
  <si>
    <t>Plank</t>
  </si>
  <si>
    <t>Beams</t>
  </si>
  <si>
    <t>Columns</t>
  </si>
  <si>
    <t>Structural walls</t>
  </si>
  <si>
    <t>Steel clips</t>
  </si>
  <si>
    <t>Weeps</t>
  </si>
  <si>
    <t>Mobs</t>
  </si>
  <si>
    <t>03-5413</t>
  </si>
  <si>
    <t>Gypcrete</t>
  </si>
  <si>
    <t xml:space="preserve">Wood </t>
  </si>
  <si>
    <t>3/8" soundmat at hard and soft surfaces</t>
  </si>
  <si>
    <t xml:space="preserve">1" gypcrete </t>
  </si>
  <si>
    <t>Precast - 1-3/8" Gyp</t>
  </si>
  <si>
    <t>1-3/8" gypcrete on precast</t>
  </si>
  <si>
    <t>2500 PSI in units</t>
  </si>
  <si>
    <t xml:space="preserve">3000 PSI in corridors </t>
  </si>
  <si>
    <t>Deduct - no soundmat in carpeted areas</t>
  </si>
  <si>
    <t>04-0000</t>
  </si>
  <si>
    <t>MASONRY</t>
  </si>
  <si>
    <t>CMU foundations walls</t>
  </si>
  <si>
    <t>Interior CMU walls</t>
  </si>
  <si>
    <t>Structural walls (on struct)</t>
  </si>
  <si>
    <t>Architectural walls (on arch)</t>
  </si>
  <si>
    <t>Brick/stone veneer</t>
  </si>
  <si>
    <t>Block back-up</t>
  </si>
  <si>
    <t>Rigid insulation behind brick</t>
  </si>
  <si>
    <t>05-1200</t>
  </si>
  <si>
    <t>Structural Steel</t>
  </si>
  <si>
    <t>Installation</t>
  </si>
  <si>
    <t>CMU Clips</t>
  </si>
  <si>
    <t>Loose lintels - galvanized</t>
  </si>
  <si>
    <t>Steel stairs</t>
  </si>
  <si>
    <t>Steel railings</t>
  </si>
  <si>
    <t>Steel stairs podium down</t>
  </si>
  <si>
    <t>Elevator Beams</t>
  </si>
  <si>
    <t>Cart Corral</t>
  </si>
  <si>
    <t>Bollards</t>
  </si>
  <si>
    <t>Bar Steel</t>
  </si>
  <si>
    <t>Pipe protection in garage</t>
  </si>
  <si>
    <t>Ships Ladder</t>
  </si>
  <si>
    <t>Trench drain grate</t>
  </si>
  <si>
    <t>Stair Gates</t>
  </si>
  <si>
    <t>Bent plate at garage</t>
  </si>
  <si>
    <t>Area well grate</t>
  </si>
  <si>
    <t>05-7210</t>
  </si>
  <si>
    <t>Aluminum Decks and Railings</t>
  </si>
  <si>
    <t>Aluminum balconies</t>
  </si>
  <si>
    <t>Aluminum railings</t>
  </si>
  <si>
    <t>Podium level units</t>
  </si>
  <si>
    <t>Amenity deck</t>
  </si>
  <si>
    <t>Knife plates and fasteners</t>
  </si>
  <si>
    <t>Amenity deck parapet</t>
  </si>
  <si>
    <t>Sky deck parapets</t>
  </si>
  <si>
    <t>Pergolas</t>
  </si>
  <si>
    <t>Design and Engineering</t>
  </si>
  <si>
    <t>06-1000</t>
  </si>
  <si>
    <t>Rough Carpentry</t>
  </si>
  <si>
    <t>Loose Lumber &amp; Roof Joists</t>
  </si>
  <si>
    <t>06-1710</t>
  </si>
  <si>
    <t>Manufactured Wall Panels</t>
  </si>
  <si>
    <t>06-1753</t>
  </si>
  <si>
    <t>Shop-Fabricated Wood Trusses</t>
  </si>
  <si>
    <t>06-2000</t>
  </si>
  <si>
    <t>Finish Carpentry</t>
  </si>
  <si>
    <t>Installation of:</t>
  </si>
  <si>
    <t>Doors, frames and hardware</t>
  </si>
  <si>
    <t>Base</t>
  </si>
  <si>
    <t>Stair railing, skirt, cap</t>
  </si>
  <si>
    <t>Magic pak access panels</t>
  </si>
  <si>
    <t>Microwaves</t>
  </si>
  <si>
    <t>Fire extinguishers</t>
  </si>
  <si>
    <t>Bath accessories</t>
  </si>
  <si>
    <t>Bath partitions</t>
  </si>
  <si>
    <t>Interior signs (maybe)</t>
  </si>
  <si>
    <t>Window sills (maybe)</t>
  </si>
  <si>
    <t>Wire shelving (maybe)</t>
  </si>
  <si>
    <t>Installation of Cab in 12's</t>
  </si>
  <si>
    <t>06-2200</t>
  </si>
  <si>
    <t>Millwork</t>
  </si>
  <si>
    <t>Unit base - poplar</t>
  </si>
  <si>
    <t>Code rail / stair railing</t>
  </si>
  <si>
    <t>Skirt</t>
  </si>
  <si>
    <t>Cap</t>
  </si>
  <si>
    <t>04-4100</t>
  </si>
  <si>
    <t>Architectural Casework</t>
  </si>
  <si>
    <t xml:space="preserve">Furnish </t>
  </si>
  <si>
    <t>Install</t>
  </si>
  <si>
    <t>06-6113</t>
  </si>
  <si>
    <t>Solid Surfaces</t>
  </si>
  <si>
    <t>Shower Surrounds</t>
  </si>
  <si>
    <t>Cultured Marble Fabrication</t>
  </si>
  <si>
    <t>Tub Surrounds</t>
  </si>
  <si>
    <t>Common Area Countertops</t>
  </si>
  <si>
    <t>Cultured Marble</t>
  </si>
  <si>
    <t>Quartz Surface</t>
  </si>
  <si>
    <t>06-6116</t>
  </si>
  <si>
    <t>06-8700</t>
  </si>
  <si>
    <t>07-1000</t>
  </si>
  <si>
    <t>Waterproofing</t>
  </si>
  <si>
    <t>07-1413</t>
  </si>
  <si>
    <t>Hot Fluid Applied Waterproofin</t>
  </si>
  <si>
    <t>Amenity decks</t>
  </si>
  <si>
    <t>Any other extended garage area</t>
  </si>
  <si>
    <t>6" of insulation</t>
  </si>
  <si>
    <t>07-1800</t>
  </si>
  <si>
    <t>Traffic Coatings</t>
  </si>
  <si>
    <t>Vehicular</t>
  </si>
  <si>
    <t>Precast topping slab</t>
  </si>
  <si>
    <t>PT joints and crane blockouts</t>
  </si>
  <si>
    <t>Carwash and up 6"</t>
  </si>
  <si>
    <t>Pedestrian</t>
  </si>
  <si>
    <t>Maintenance room</t>
  </si>
  <si>
    <t xml:space="preserve">Trash rooms </t>
  </si>
  <si>
    <t>07-2700</t>
  </si>
  <si>
    <t>Spray Applied Air Barriers</t>
  </si>
  <si>
    <t>Behind brick/stop with block backup</t>
  </si>
  <si>
    <t>07-2100</t>
  </si>
  <si>
    <t>Thermal Insulation</t>
  </si>
  <si>
    <t>Spray Foam</t>
  </si>
  <si>
    <t>Unit Sound Insulation or ALL Walls</t>
  </si>
  <si>
    <t>Precast cores</t>
  </si>
  <si>
    <t>Roof Parapets Spray Foam</t>
  </si>
  <si>
    <t>Mineral wool at demising walls</t>
  </si>
  <si>
    <t>07-2500</t>
  </si>
  <si>
    <t>Weather Barrier</t>
  </si>
  <si>
    <t>07-3113</t>
  </si>
  <si>
    <t>Asphalt Singles</t>
  </si>
  <si>
    <t>07-4213</t>
  </si>
  <si>
    <t>Metal Panel Siding</t>
  </si>
  <si>
    <t>07-4600</t>
  </si>
  <si>
    <t>Siding</t>
  </si>
  <si>
    <t>Hardie Siding and Trim</t>
  </si>
  <si>
    <t>Insulation at CMU backup with Z-furring</t>
  </si>
  <si>
    <t>Flashing</t>
  </si>
  <si>
    <t>Trim</t>
  </si>
  <si>
    <t>Caullking</t>
  </si>
  <si>
    <t>Window Caulking</t>
  </si>
  <si>
    <t>07-5000</t>
  </si>
  <si>
    <t>Membrane Roofing</t>
  </si>
  <si>
    <t xml:space="preserve">60 mil non-reinf ballasted </t>
  </si>
  <si>
    <t>10 mil vapor barrier</t>
  </si>
  <si>
    <t>Metal Coping and Cap</t>
  </si>
  <si>
    <t>Entry Canopy Roof</t>
  </si>
  <si>
    <t>Roof  Penetrations</t>
  </si>
  <si>
    <t xml:space="preserve">Pipe Boots </t>
  </si>
  <si>
    <t>1 bath units - 1 ea</t>
  </si>
  <si>
    <t>2 bath units - 2 ea</t>
  </si>
  <si>
    <t>Roof drains w/ overflow - 1 ea / 4,000 sf</t>
  </si>
  <si>
    <t>Davits - 1 ea / 1,000 sf</t>
  </si>
  <si>
    <t>Dog House - 1 per top floor unit</t>
  </si>
  <si>
    <t xml:space="preserve">HVAC Curbs - minimum 2 ea </t>
  </si>
  <si>
    <t>Condensors</t>
  </si>
  <si>
    <t>Confirm if located on roof or garage</t>
  </si>
  <si>
    <t xml:space="preserve">Roof Hatch </t>
  </si>
  <si>
    <t>07-6200</t>
  </si>
  <si>
    <t>Sheet Metal Flashing &amp; Trim</t>
  </si>
  <si>
    <t>07-6000</t>
  </si>
  <si>
    <t>Roof Pavers</t>
  </si>
  <si>
    <t>07-8100</t>
  </si>
  <si>
    <t>Applied Fire Proofing</t>
  </si>
  <si>
    <t>07-8400</t>
  </si>
  <si>
    <t>Firestopping</t>
  </si>
  <si>
    <t>07-9200</t>
  </si>
  <si>
    <t>Joint Sealants</t>
  </si>
  <si>
    <t>07-9500</t>
  </si>
  <si>
    <t>Expansion Joints</t>
  </si>
  <si>
    <t>08-1000</t>
  </si>
  <si>
    <t>Door, Frames, Hardware</t>
  </si>
  <si>
    <t>08-3113</t>
  </si>
  <si>
    <t>Access Panels</t>
  </si>
  <si>
    <t>08-3613</t>
  </si>
  <si>
    <t>Overhead &amp; Coiling Doors</t>
  </si>
  <si>
    <t>08-4000</t>
  </si>
  <si>
    <t>Aluminum Entrance &amp; Store Fronts</t>
  </si>
  <si>
    <t>Doors out to pool/amenity</t>
  </si>
  <si>
    <t>Includes door hardware</t>
  </si>
  <si>
    <t>08-4400</t>
  </si>
  <si>
    <t>Curtian Wall</t>
  </si>
  <si>
    <t>08-5113</t>
  </si>
  <si>
    <t>Aluminum Windows &amp; Patio Doors</t>
  </si>
  <si>
    <t>08-8000</t>
  </si>
  <si>
    <t>Glazing</t>
  </si>
  <si>
    <t>08-5413</t>
  </si>
  <si>
    <t>Windows &amp; Patio Doors</t>
  </si>
  <si>
    <t>08-8330</t>
  </si>
  <si>
    <t>Mirrors</t>
  </si>
  <si>
    <t>09-2116</t>
  </si>
  <si>
    <t>Gypsum Board Assemblies</t>
  </si>
  <si>
    <t>Level 4 finish</t>
  </si>
  <si>
    <t>Shim windows</t>
  </si>
  <si>
    <t>Added layer at bedroom ceiling?</t>
  </si>
  <si>
    <t>Dropped ceiling at fan coils</t>
  </si>
  <si>
    <t>Dropped ceiling at magic paks</t>
  </si>
  <si>
    <t>Dropped ceilings at elevator lobbies in garage</t>
  </si>
  <si>
    <t>Pet spa drywall</t>
  </si>
  <si>
    <t>Touch-up / Punch / Trade Damage</t>
  </si>
  <si>
    <t>09-2216</t>
  </si>
  <si>
    <t>Steel Studs</t>
  </si>
  <si>
    <t>09-3000</t>
  </si>
  <si>
    <t>Tile</t>
  </si>
  <si>
    <t>Common area</t>
  </si>
  <si>
    <t>Backsplash</t>
  </si>
  <si>
    <t>09-5123</t>
  </si>
  <si>
    <t>Acoustical Tile Ceilings</t>
  </si>
  <si>
    <t>Back of house</t>
  </si>
  <si>
    <t>Leasing</t>
  </si>
  <si>
    <t>Workroom</t>
  </si>
  <si>
    <t>09-6400</t>
  </si>
  <si>
    <t>Wood Flooring</t>
  </si>
  <si>
    <t>09-6500</t>
  </si>
  <si>
    <t>Resilient Flooring</t>
  </si>
  <si>
    <t>09-6600</t>
  </si>
  <si>
    <t>Terrazzo Flooring</t>
  </si>
  <si>
    <t>09-6800</t>
  </si>
  <si>
    <t>Carpeting</t>
  </si>
  <si>
    <t>09-7200</t>
  </si>
  <si>
    <t>Wall Coverings</t>
  </si>
  <si>
    <t>09-9000</t>
  </si>
  <si>
    <t>Painting</t>
  </si>
  <si>
    <t>09-9646</t>
  </si>
  <si>
    <t>Intumescent Painting</t>
  </si>
  <si>
    <t>10-0000</t>
  </si>
  <si>
    <t>Specialties</t>
  </si>
  <si>
    <t>10-1400</t>
  </si>
  <si>
    <t>Signage</t>
  </si>
  <si>
    <t>10-1453</t>
  </si>
  <si>
    <t>Traffic Signage</t>
  </si>
  <si>
    <t>10-2213</t>
  </si>
  <si>
    <t>Wire Mesh Storage Cages</t>
  </si>
  <si>
    <t>10-2113</t>
  </si>
  <si>
    <t>Toilet Partitions</t>
  </si>
  <si>
    <t>10-2226</t>
  </si>
  <si>
    <t>Operable Partitions</t>
  </si>
  <si>
    <t>10-2600</t>
  </si>
  <si>
    <t>Wall &amp; Door Protection</t>
  </si>
  <si>
    <t>10-2800</t>
  </si>
  <si>
    <t>Toile Accessories</t>
  </si>
  <si>
    <t>10-2819</t>
  </si>
  <si>
    <t>Tubs &amp; Shower Doors</t>
  </si>
  <si>
    <t>10-3100</t>
  </si>
  <si>
    <t>Manufactured Firepalces</t>
  </si>
  <si>
    <t>10-3110</t>
  </si>
  <si>
    <t>Outdoor Fire Pits</t>
  </si>
  <si>
    <t>10-5500</t>
  </si>
  <si>
    <t>Postal Speciallties</t>
  </si>
  <si>
    <t>10-5623</t>
  </si>
  <si>
    <t>Closet Shelving</t>
  </si>
  <si>
    <t>10-7313</t>
  </si>
  <si>
    <t>Awnings &amp; Canopies</t>
  </si>
  <si>
    <t>10-7500</t>
  </si>
  <si>
    <t>Flagpoles</t>
  </si>
  <si>
    <t>10-9000</t>
  </si>
  <si>
    <t>Gold Simulator</t>
  </si>
  <si>
    <t>11-2423</t>
  </si>
  <si>
    <t>Window Washing Systems</t>
  </si>
  <si>
    <t>11-3100</t>
  </si>
  <si>
    <t>Appliances</t>
  </si>
  <si>
    <t>11-3110</t>
  </si>
  <si>
    <t>Outdoor Gas Grills</t>
  </si>
  <si>
    <t>11-6700</t>
  </si>
  <si>
    <t>Recreational Equipment</t>
  </si>
  <si>
    <t>Total lot equipment</t>
  </si>
  <si>
    <t>11-8216</t>
  </si>
  <si>
    <t>Trash Compactors</t>
  </si>
  <si>
    <t>12-2000</t>
  </si>
  <si>
    <t>Window Treatments</t>
  </si>
  <si>
    <t>12-3530</t>
  </si>
  <si>
    <t>Residential Casework</t>
  </si>
  <si>
    <t>12-3570</t>
  </si>
  <si>
    <t>12-3640</t>
  </si>
  <si>
    <t>Residential Countertops</t>
  </si>
  <si>
    <t>12-3663</t>
  </si>
  <si>
    <t>Window Sills</t>
  </si>
  <si>
    <t>Unit Windows</t>
  </si>
  <si>
    <t>Common area window sills</t>
  </si>
  <si>
    <t>12-4813</t>
  </si>
  <si>
    <t>Entrance Floor Mats</t>
  </si>
  <si>
    <t>12-9313</t>
  </si>
  <si>
    <t>Bike Racks</t>
  </si>
  <si>
    <t>13-1100</t>
  </si>
  <si>
    <t>Swimming Pools &amp; Spas</t>
  </si>
  <si>
    <t>13-1900</t>
  </si>
  <si>
    <t>Pet Equipment</t>
  </si>
  <si>
    <t>13-2416</t>
  </si>
  <si>
    <t>Saunas</t>
  </si>
  <si>
    <t>14-2000</t>
  </si>
  <si>
    <t>Elevators</t>
  </si>
  <si>
    <t>14-9182</t>
  </si>
  <si>
    <t>Trash Chute</t>
  </si>
  <si>
    <t>21-0000</t>
  </si>
  <si>
    <t>Fire Suppression</t>
  </si>
  <si>
    <t>22-0000</t>
  </si>
  <si>
    <t>Plumbing</t>
  </si>
  <si>
    <t>23-3000</t>
  </si>
  <si>
    <t>HVAC</t>
  </si>
  <si>
    <t>26-0000</t>
  </si>
  <si>
    <t>Electrical</t>
  </si>
  <si>
    <t>27-2000</t>
  </si>
  <si>
    <t>Data Communication</t>
  </si>
  <si>
    <t>27-4000</t>
  </si>
  <si>
    <t>Audio Video Communication</t>
  </si>
  <si>
    <t>28-1300</t>
  </si>
  <si>
    <t>Access Control</t>
  </si>
  <si>
    <t>28-2300</t>
  </si>
  <si>
    <t>Video Surveillance</t>
  </si>
  <si>
    <t>28-3100</t>
  </si>
  <si>
    <t>Fire Detection &amp; Alarm</t>
  </si>
  <si>
    <t>31-0000</t>
  </si>
  <si>
    <t>Earthwork</t>
  </si>
  <si>
    <t>31-2113</t>
  </si>
  <si>
    <t>Radon Mitigation</t>
  </si>
  <si>
    <t>31-2500</t>
  </si>
  <si>
    <t>Erosion &amp; Sediment Control</t>
  </si>
  <si>
    <t>31-4000</t>
  </si>
  <si>
    <t>Shoring</t>
  </si>
  <si>
    <t>31-6000</t>
  </si>
  <si>
    <t>Piles, Piers &amp; Caissons</t>
  </si>
  <si>
    <t>32-1216</t>
  </si>
  <si>
    <t>Asphalt Paving</t>
  </si>
  <si>
    <t>32-1313</t>
  </si>
  <si>
    <t>Site Concrete</t>
  </si>
  <si>
    <t>32-1400</t>
  </si>
  <si>
    <t>Unit Pavers</t>
  </si>
  <si>
    <t>32-1813</t>
  </si>
  <si>
    <t>Artificial Turf</t>
  </si>
  <si>
    <t>32-3100</t>
  </si>
  <si>
    <t>Fences &amp; Gates</t>
  </si>
  <si>
    <t>32-3200</t>
  </si>
  <si>
    <t>Retaining Wall</t>
  </si>
  <si>
    <t>32-9000</t>
  </si>
  <si>
    <t>Landscaping &amp; Irrigation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</si>
</sst>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00%"/>
    <numFmt numFmtId="165" formatCode="0.000"/>
    <numFmt numFmtId="166" formatCode="&quot;$&quot;#,##0.00"/>
    <numFmt numFmtId="167" formatCode="[&lt;=9999999]###\-####;\(###\)\ ###\-####"/>
    <numFmt numFmtId="168" formatCode="_(&quot;$&quot;* #,##0.000_);_(&quot;$&quot;* \(#,##0.000\);_(&quot;$&quot;* &quot;-&quot;??_);_(@_)"/>
  </numFmts>
  <fonts count="25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2"/>
      <color theme="0" tint="-0.34998626667073579"/>
      <name val="Century Gothic"/>
      <family val="1"/>
    </font>
    <font>
      <b/>
      <sz val="8"/>
      <name val="Century Gothic"/>
      <family val="1"/>
    </font>
    <font>
      <b/>
      <sz val="9"/>
      <name val="Century Gothic"/>
      <family val="1"/>
    </font>
    <font>
      <b/>
      <sz val="11"/>
      <color theme="0" tint="-0.34998626667073579"/>
      <name val="Century Gothic"/>
      <family val="1"/>
    </font>
    <font>
      <b/>
      <sz val="8"/>
      <color theme="0"/>
      <name val="Century Gothic"/>
      <family val="1"/>
    </font>
    <font>
      <b/>
      <sz val="9"/>
      <color theme="0"/>
      <name val="Century Gothic"/>
      <family val="1"/>
    </font>
    <font>
      <b/>
      <sz val="9"/>
      <color rgb="FFFFFFFF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theme="1"/>
      <name val="Century Gothic"/>
      <family val="1"/>
    </font>
    <font>
      <sz val="10"/>
      <color theme="0" tint="-0.499984740745262"/>
      <name val="Century Gothic"/>
      <family val="1"/>
    </font>
    <font>
      <sz val="9"/>
      <name val="Century Gothic"/>
      <family val="1"/>
    </font>
    <font>
      <sz val="10"/>
      <color indexed="8"/>
      <name val="Century Gothic"/>
      <family val="2"/>
    </font>
    <font>
      <b/>
      <sz val="11"/>
      <name val="Century Gothic"/>
      <family val="1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sz val="8"/>
      <name val="Calibri"/>
      <family val="2"/>
      <scheme val="minor"/>
    </font>
    <font>
      <b/>
      <sz val="10"/>
      <color indexed="8"/>
      <name val="Century Gothic"/>
      <family val="2"/>
    </font>
    <font>
      <b/>
      <sz val="12"/>
      <color theme="1"/>
      <name val="Century Gothic"/>
      <family val="2"/>
    </font>
    <font>
      <u/>
      <sz val="10"/>
      <color theme="10"/>
      <name val="Century Gothic"/>
      <family val="2"/>
    </font>
    <font>
      <sz val="10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90">
    <border>
      <left/>
      <right/>
      <top/>
      <bottom/>
      <diagonal/>
    </border>
    <border>
      <left style="medium">
        <color theme="0" tint="-0.249977111117893"/>
      </left>
      <right/>
      <top style="medium">
        <color theme="0" tint="-0.249977111117893"/>
      </top>
      <bottom style="double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/>
      <top style="medium">
        <color rgb="FFBFBFBF"/>
      </top>
      <bottom style="double">
        <color rgb="FFBFBFBF"/>
      </bottom>
      <diagonal/>
    </border>
    <border>
      <left/>
      <right style="medium">
        <color rgb="FFBFBFBF"/>
      </right>
      <top style="medium">
        <color rgb="FFBFBFBF"/>
      </top>
      <bottom style="double">
        <color rgb="FFBFBFBF"/>
      </bottom>
      <diagonal/>
    </border>
    <border>
      <left style="medium">
        <color theme="0" tint="-0.249977111117893"/>
      </left>
      <right/>
      <top style="double">
        <color theme="0" tint="-0.249977111117893"/>
      </top>
      <bottom style="dashDotDot">
        <color theme="1" tint="0.499984740745262"/>
      </bottom>
      <diagonal/>
    </border>
    <border>
      <left/>
      <right style="medium">
        <color theme="0" tint="-0.249977111117893"/>
      </right>
      <top style="double">
        <color theme="0" tint="-0.249977111117893"/>
      </top>
      <bottom style="dashDotDot">
        <color theme="1" tint="0.499984740745262"/>
      </bottom>
      <diagonal/>
    </border>
    <border>
      <left/>
      <right/>
      <top style="double">
        <color theme="0" tint="-0.249977111117893"/>
      </top>
      <bottom style="dashDotDot">
        <color theme="1" tint="0.499984740745262"/>
      </bottom>
      <diagonal/>
    </border>
    <border>
      <left style="medium">
        <color theme="0" tint="-0.249977111117893"/>
      </left>
      <right/>
      <top style="dashDotDot">
        <color theme="1" tint="0.499984740745262"/>
      </top>
      <bottom style="dashDotDot">
        <color theme="1" tint="0.499984740745262"/>
      </bottom>
      <diagonal/>
    </border>
    <border>
      <left/>
      <right style="medium">
        <color theme="0" tint="-0.249977111117893"/>
      </right>
      <top style="dashDotDot">
        <color theme="1" tint="0.499984740745262"/>
      </top>
      <bottom style="dashDotDot">
        <color theme="1" tint="0.499984740745262"/>
      </bottom>
      <diagonal/>
    </border>
    <border>
      <left/>
      <right/>
      <top style="dashDotDot">
        <color theme="1" tint="0.499984740745262"/>
      </top>
      <bottom style="dashDotDot">
        <color theme="1" tint="0.499984740745262"/>
      </bottom>
      <diagonal/>
    </border>
    <border>
      <left/>
      <right/>
      <top/>
      <bottom style="double">
        <color theme="0" tint="-0.14996795556505021"/>
      </bottom>
      <diagonal/>
    </border>
    <border>
      <left style="medium">
        <color theme="0" tint="-0.249977111117893"/>
      </left>
      <right/>
      <top style="dashDotDot">
        <color theme="1" tint="0.499984740745262"/>
      </top>
      <bottom style="double">
        <color theme="0" tint="-0.14996795556505021"/>
      </bottom>
      <diagonal/>
    </border>
    <border>
      <left/>
      <right style="medium">
        <color theme="0" tint="-0.249977111117893"/>
      </right>
      <top style="dashDotDot">
        <color theme="1" tint="0.499984740745262"/>
      </top>
      <bottom style="double">
        <color theme="0" tint="-0.14996795556505021"/>
      </bottom>
      <diagonal/>
    </border>
    <border>
      <left/>
      <right/>
      <top style="dashDotDot">
        <color theme="1" tint="0.499984740745262"/>
      </top>
      <bottom style="double">
        <color theme="0" tint="-0.14996795556505021"/>
      </bottom>
      <diagonal/>
    </border>
    <border>
      <left style="medium">
        <color theme="0" tint="-0.249977111117893"/>
      </left>
      <right/>
      <top style="double">
        <color theme="0" tint="-0.14996795556505021"/>
      </top>
      <bottom style="thin">
        <color theme="0" tint="-0.249977111117893"/>
      </bottom>
      <diagonal/>
    </border>
    <border>
      <left/>
      <right style="hair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hair">
        <color rgb="FFBFBFBF"/>
      </right>
      <top/>
      <bottom style="thin">
        <color rgb="FFBFBFBF"/>
      </bottom>
      <diagonal/>
    </border>
    <border>
      <left/>
      <right style="medium">
        <color rgb="FFBFBFBF"/>
      </right>
      <top/>
      <bottom style="thin">
        <color rgb="FFBFBFBF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hair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hair">
        <color rgb="FFBFBFBF"/>
      </right>
      <top/>
      <bottom style="medium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double">
        <color theme="0" tint="-0.14996795556505021"/>
      </top>
      <bottom style="thin">
        <color theme="0" tint="-0.249977111117893"/>
      </bottom>
      <diagonal/>
    </border>
    <border>
      <left style="medium">
        <color theme="0" tint="-0.249977111117893"/>
      </left>
      <right style="hair">
        <color theme="0" tint="-0.249977111117893"/>
      </right>
      <top style="double">
        <color theme="0" tint="-0.14996795556505021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ck">
        <color theme="0" tint="-0.249977111117893"/>
      </left>
      <right style="medium">
        <color theme="0" tint="-0.249977111117893"/>
      </right>
      <top style="double">
        <color theme="0" tint="-0.14996795556505021"/>
      </top>
      <bottom style="thin">
        <color theme="0" tint="-0.249977111117893"/>
      </bottom>
      <diagonal/>
    </border>
    <border>
      <left style="thick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ck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double">
        <color theme="0" tint="-0.249977111117893"/>
      </bottom>
      <diagonal/>
    </border>
    <border>
      <left style="thick">
        <color theme="0" tint="-0.249977111117893"/>
      </left>
      <right/>
      <top style="medium">
        <color theme="0" tint="-0.249977111117893"/>
      </top>
      <bottom style="double">
        <color theme="0" tint="-0.249977111117893"/>
      </bottom>
      <diagonal/>
    </border>
    <border>
      <left style="thick">
        <color theme="0" tint="-0.249977111117893"/>
      </left>
      <right/>
      <top style="double">
        <color theme="0" tint="-0.249977111117893"/>
      </top>
      <bottom style="dashDotDot">
        <color theme="1" tint="0.499984740745262"/>
      </bottom>
      <diagonal/>
    </border>
    <border>
      <left style="thick">
        <color theme="0" tint="-0.249977111117893"/>
      </left>
      <right/>
      <top style="dashDotDot">
        <color theme="1" tint="0.499984740745262"/>
      </top>
      <bottom style="dashDotDot">
        <color theme="1" tint="0.499984740745262"/>
      </bottom>
      <diagonal/>
    </border>
    <border>
      <left style="thick">
        <color theme="0" tint="-0.249977111117893"/>
      </left>
      <right/>
      <top style="dashDotDot">
        <color theme="1" tint="0.499984740745262"/>
      </top>
      <bottom style="double">
        <color theme="0" tint="-0.14996795556505021"/>
      </bottom>
      <diagonal/>
    </border>
    <border>
      <left style="thick">
        <color theme="0" tint="-0.249977111117893"/>
      </left>
      <right style="hair">
        <color theme="0" tint="-0.249977111117893"/>
      </right>
      <top/>
      <bottom style="thin">
        <color theme="0" tint="-0.249977111117893"/>
      </bottom>
      <diagonal/>
    </border>
    <border>
      <left style="thick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249977111117893"/>
      </left>
      <right style="hair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ck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ck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ck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ck">
        <color theme="0" tint="-0.14993743705557422"/>
      </left>
      <right style="thick">
        <color theme="0" tint="-0.14993743705557422"/>
      </right>
      <top style="thick">
        <color theme="0" tint="-0.14993743705557422"/>
      </top>
      <bottom style="medium">
        <color theme="0" tint="-0.14993743705557422"/>
      </bottom>
      <diagonal/>
    </border>
    <border>
      <left style="thick">
        <color theme="0" tint="-0.14993743705557422"/>
      </left>
      <right style="thick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thick">
        <color theme="0" tint="-0.14993743705557422"/>
      </left>
      <right style="thick">
        <color theme="0" tint="-0.14993743705557422"/>
      </right>
      <top style="medium">
        <color theme="0" tint="-0.14993743705557422"/>
      </top>
      <bottom style="thick">
        <color theme="0" tint="-0.14993743705557422"/>
      </bottom>
      <diagonal/>
    </border>
    <border>
      <left style="medium">
        <color auto="1"/>
      </left>
      <right/>
      <top style="medium">
        <color auto="1"/>
      </top>
      <bottom style="double">
        <color theme="0" tint="-0.14996795556505021"/>
      </bottom>
      <diagonal/>
    </border>
    <border>
      <left/>
      <right/>
      <top style="medium">
        <color auto="1"/>
      </top>
      <bottom style="double">
        <color theme="0" tint="-0.14996795556505021"/>
      </bottom>
      <diagonal/>
    </border>
    <border>
      <left/>
      <right style="medium">
        <color auto="1"/>
      </right>
      <top style="medium">
        <color auto="1"/>
      </top>
      <bottom style="double">
        <color theme="0" tint="-0.14996795556505021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 style="thick">
        <color theme="0" tint="-0.249977111117893"/>
      </right>
      <top style="dashDotDot">
        <color theme="1" tint="0.499984740745262"/>
      </top>
      <bottom style="dashDotDot">
        <color theme="1" tint="0.499984740745262"/>
      </bottom>
      <diagonal/>
    </border>
    <border>
      <left/>
      <right/>
      <top style="double">
        <color theme="0" tint="-0.14996795556505021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double">
        <color theme="0" tint="-0.14996795556505021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86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14" fontId="4" fillId="3" borderId="0" xfId="0" applyNumberFormat="1" applyFont="1" applyFill="1" applyAlignment="1">
      <alignment horizontal="center" vertical="center" wrapText="1"/>
    </xf>
    <xf numFmtId="44" fontId="4" fillId="3" borderId="0" xfId="1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right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/>
    </xf>
    <xf numFmtId="14" fontId="8" fillId="6" borderId="17" xfId="0" applyNumberFormat="1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14" fontId="9" fillId="9" borderId="19" xfId="0" applyNumberFormat="1" applyFont="1" applyFill="1" applyBorder="1" applyAlignment="1">
      <alignment horizontal="center" vertical="center"/>
    </xf>
    <xf numFmtId="44" fontId="11" fillId="10" borderId="23" xfId="1" applyFont="1" applyFill="1" applyBorder="1" applyAlignment="1">
      <alignment vertical="center"/>
    </xf>
    <xf numFmtId="44" fontId="11" fillId="11" borderId="21" xfId="1" applyFont="1" applyFill="1" applyBorder="1" applyAlignment="1">
      <alignment vertical="center"/>
    </xf>
    <xf numFmtId="44" fontId="11" fillId="10" borderId="18" xfId="0" applyNumberFormat="1" applyFont="1" applyFill="1" applyBorder="1" applyAlignment="1">
      <alignment vertical="center"/>
    </xf>
    <xf numFmtId="0" fontId="12" fillId="11" borderId="27" xfId="0" applyFont="1" applyFill="1" applyBorder="1" applyAlignment="1">
      <alignment horizontal="right" vertical="center" indent="1"/>
    </xf>
    <xf numFmtId="0" fontId="14" fillId="2" borderId="29" xfId="0" applyFont="1" applyFill="1" applyBorder="1" applyAlignment="1">
      <alignment horizontal="right" vertical="center" indent="1"/>
    </xf>
    <xf numFmtId="0" fontId="12" fillId="11" borderId="30" xfId="0" applyFont="1" applyFill="1" applyBorder="1" applyAlignment="1">
      <alignment horizontal="right" vertical="center" indent="1"/>
    </xf>
    <xf numFmtId="164" fontId="13" fillId="10" borderId="31" xfId="2" applyNumberFormat="1" applyFont="1" applyFill="1" applyBorder="1" applyAlignment="1">
      <alignment horizontal="center" vertical="center"/>
    </xf>
    <xf numFmtId="44" fontId="13" fillId="2" borderId="28" xfId="1" applyFont="1" applyFill="1" applyBorder="1" applyAlignment="1">
      <alignment horizontal="right" vertical="center"/>
    </xf>
    <xf numFmtId="44" fontId="13" fillId="2" borderId="28" xfId="1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right" vertical="center" indent="1"/>
    </xf>
    <xf numFmtId="44" fontId="15" fillId="2" borderId="33" xfId="0" applyNumberFormat="1" applyFont="1" applyFill="1" applyBorder="1" applyAlignment="1">
      <alignment horizontal="right" vertical="center" indent="1"/>
    </xf>
    <xf numFmtId="0" fontId="12" fillId="11" borderId="35" xfId="0" applyFont="1" applyFill="1" applyBorder="1" applyAlignment="1">
      <alignment horizontal="right" vertical="center" indent="1"/>
    </xf>
    <xf numFmtId="9" fontId="13" fillId="2" borderId="25" xfId="2" applyFont="1" applyFill="1" applyBorder="1" applyAlignment="1">
      <alignment horizontal="right" vertical="center"/>
    </xf>
    <xf numFmtId="0" fontId="8" fillId="6" borderId="15" xfId="0" applyFont="1" applyFill="1" applyBorder="1" applyAlignment="1">
      <alignment horizontal="center" vertical="center" wrapText="1"/>
    </xf>
    <xf numFmtId="0" fontId="8" fillId="6" borderId="39" xfId="0" applyFont="1" applyFill="1" applyBorder="1" applyAlignment="1">
      <alignment horizontal="center" vertical="center" wrapText="1"/>
    </xf>
    <xf numFmtId="0" fontId="8" fillId="7" borderId="40" xfId="0" applyFont="1" applyFill="1" applyBorder="1" applyAlignment="1">
      <alignment horizontal="center" vertical="center"/>
    </xf>
    <xf numFmtId="164" fontId="14" fillId="2" borderId="29" xfId="2" applyNumberFormat="1" applyFont="1" applyFill="1" applyBorder="1" applyAlignment="1">
      <alignment horizontal="right" vertical="center" indent="1"/>
    </xf>
    <xf numFmtId="0" fontId="12" fillId="11" borderId="34" xfId="0" applyFont="1" applyFill="1" applyBorder="1" applyAlignment="1">
      <alignment vertical="center"/>
    </xf>
    <xf numFmtId="0" fontId="12" fillId="11" borderId="20" xfId="0" applyFont="1" applyFill="1" applyBorder="1" applyAlignment="1">
      <alignment vertical="center"/>
    </xf>
    <xf numFmtId="0" fontId="14" fillId="2" borderId="45" xfId="0" applyFont="1" applyFill="1" applyBorder="1" applyAlignment="1">
      <alignment horizontal="left" vertical="center" indent="1"/>
    </xf>
    <xf numFmtId="164" fontId="14" fillId="2" borderId="45" xfId="2" applyNumberFormat="1" applyFont="1" applyFill="1" applyBorder="1" applyAlignment="1">
      <alignment horizontal="right" vertical="center" indent="1"/>
    </xf>
    <xf numFmtId="0" fontId="12" fillId="11" borderId="36" xfId="0" applyFont="1" applyFill="1" applyBorder="1" applyAlignment="1">
      <alignment vertical="center"/>
    </xf>
    <xf numFmtId="0" fontId="12" fillId="11" borderId="41" xfId="0" applyFont="1" applyFill="1" applyBorder="1" applyAlignment="1">
      <alignment vertical="center"/>
    </xf>
    <xf numFmtId="0" fontId="8" fillId="6" borderId="36" xfId="0" applyFont="1" applyFill="1" applyBorder="1" applyAlignment="1">
      <alignment vertical="center"/>
    </xf>
    <xf numFmtId="0" fontId="12" fillId="11" borderId="37" xfId="0" applyFont="1" applyFill="1" applyBorder="1" applyAlignment="1">
      <alignment vertical="center"/>
    </xf>
    <xf numFmtId="0" fontId="12" fillId="11" borderId="47" xfId="0" applyFont="1" applyFill="1" applyBorder="1" applyAlignment="1">
      <alignment vertical="center"/>
    </xf>
    <xf numFmtId="0" fontId="6" fillId="3" borderId="11" xfId="0" applyFont="1" applyFill="1" applyBorder="1" applyAlignment="1">
      <alignment horizontal="center" vertical="center" wrapText="1"/>
    </xf>
    <xf numFmtId="0" fontId="8" fillId="6" borderId="48" xfId="0" applyFont="1" applyFill="1" applyBorder="1" applyAlignment="1">
      <alignment horizontal="center" vertical="center" wrapText="1"/>
    </xf>
    <xf numFmtId="49" fontId="10" fillId="10" borderId="49" xfId="0" applyNumberFormat="1" applyFont="1" applyFill="1" applyBorder="1" applyAlignment="1">
      <alignment vertical="center" wrapText="1"/>
    </xf>
    <xf numFmtId="0" fontId="12" fillId="11" borderId="49" xfId="0" applyFont="1" applyFill="1" applyBorder="1" applyAlignment="1">
      <alignment vertical="center"/>
    </xf>
    <xf numFmtId="0" fontId="8" fillId="6" borderId="49" xfId="0" applyFont="1" applyFill="1" applyBorder="1" applyAlignment="1">
      <alignment vertical="center"/>
    </xf>
    <xf numFmtId="0" fontId="12" fillId="11" borderId="50" xfId="0" applyFont="1" applyFill="1" applyBorder="1" applyAlignment="1">
      <alignment vertical="center"/>
    </xf>
    <xf numFmtId="14" fontId="8" fillId="7" borderId="38" xfId="0" applyNumberFormat="1" applyFont="1" applyFill="1" applyBorder="1" applyAlignment="1">
      <alignment horizontal="center" vertical="center"/>
    </xf>
    <xf numFmtId="0" fontId="11" fillId="10" borderId="36" xfId="0" applyFont="1" applyFill="1" applyBorder="1" applyAlignment="1">
      <alignment horizontal="left" vertical="center" wrapText="1" indent="1"/>
    </xf>
    <xf numFmtId="0" fontId="8" fillId="7" borderId="57" xfId="0" applyFont="1" applyFill="1" applyBorder="1" applyAlignment="1">
      <alignment horizontal="center" vertical="center"/>
    </xf>
    <xf numFmtId="44" fontId="11" fillId="10" borderId="58" xfId="1" applyFont="1" applyFill="1" applyBorder="1" applyAlignment="1">
      <alignment vertical="center"/>
    </xf>
    <xf numFmtId="0" fontId="12" fillId="11" borderId="61" xfId="0" applyFont="1" applyFill="1" applyBorder="1" applyAlignment="1">
      <alignment horizontal="right" vertical="center" indent="1"/>
    </xf>
    <xf numFmtId="0" fontId="12" fillId="11" borderId="62" xfId="0" applyFont="1" applyFill="1" applyBorder="1" applyAlignment="1">
      <alignment horizontal="right" vertical="center" indent="1"/>
    </xf>
    <xf numFmtId="0" fontId="8" fillId="6" borderId="60" xfId="0" applyFont="1" applyFill="1" applyBorder="1" applyAlignment="1">
      <alignment horizontal="right" vertical="center" indent="1"/>
    </xf>
    <xf numFmtId="0" fontId="12" fillId="11" borderId="63" xfId="0" applyFont="1" applyFill="1" applyBorder="1" applyAlignment="1">
      <alignment horizontal="right" vertical="center" indent="1"/>
    </xf>
    <xf numFmtId="40" fontId="10" fillId="10" borderId="20" xfId="1" applyNumberFormat="1" applyFont="1" applyFill="1" applyBorder="1" applyAlignment="1">
      <alignment vertical="center" wrapText="1"/>
    </xf>
    <xf numFmtId="40" fontId="12" fillId="2" borderId="43" xfId="0" applyNumberFormat="1" applyFont="1" applyFill="1" applyBorder="1" applyAlignment="1">
      <alignment vertical="center"/>
    </xf>
    <xf numFmtId="40" fontId="10" fillId="10" borderId="20" xfId="1" applyNumberFormat="1" applyFont="1" applyFill="1" applyBorder="1" applyAlignment="1">
      <alignment vertical="center"/>
    </xf>
    <xf numFmtId="166" fontId="5" fillId="2" borderId="20" xfId="0" applyNumberFormat="1" applyFont="1" applyFill="1" applyBorder="1" applyAlignment="1">
      <alignment vertical="center"/>
    </xf>
    <xf numFmtId="0" fontId="18" fillId="0" borderId="0" xfId="3"/>
    <xf numFmtId="165" fontId="16" fillId="10" borderId="22" xfId="0" applyNumberFormat="1" applyFont="1" applyFill="1" applyBorder="1" applyAlignment="1">
      <alignment horizontal="right" vertical="center" wrapText="1" indent="1"/>
    </xf>
    <xf numFmtId="40" fontId="12" fillId="2" borderId="46" xfId="0" applyNumberFormat="1" applyFont="1" applyFill="1" applyBorder="1" applyAlignment="1">
      <alignment vertical="center"/>
    </xf>
    <xf numFmtId="40" fontId="16" fillId="10" borderId="20" xfId="1" applyNumberFormat="1" applyFont="1" applyFill="1" applyBorder="1" applyAlignment="1">
      <alignment vertical="center" wrapText="1"/>
    </xf>
    <xf numFmtId="0" fontId="0" fillId="0" borderId="75" xfId="0" applyBorder="1"/>
    <xf numFmtId="14" fontId="0" fillId="0" borderId="75" xfId="0" applyNumberFormat="1" applyBorder="1"/>
    <xf numFmtId="40" fontId="16" fillId="10" borderId="34" xfId="1" applyNumberFormat="1" applyFont="1" applyFill="1" applyBorder="1" applyAlignment="1">
      <alignment vertical="center" wrapText="1"/>
    </xf>
    <xf numFmtId="49" fontId="10" fillId="10" borderId="50" xfId="0" applyNumberFormat="1" applyFont="1" applyFill="1" applyBorder="1" applyAlignment="1">
      <alignment vertical="center" wrapText="1"/>
    </xf>
    <xf numFmtId="168" fontId="11" fillId="10" borderId="58" xfId="1" applyNumberFormat="1" applyFont="1" applyFill="1" applyBorder="1" applyAlignment="1">
      <alignment vertical="center"/>
    </xf>
    <xf numFmtId="0" fontId="11" fillId="10" borderId="41" xfId="0" applyFont="1" applyFill="1" applyBorder="1" applyAlignment="1">
      <alignment horizontal="left" vertical="center" wrapText="1" indent="1"/>
    </xf>
    <xf numFmtId="0" fontId="12" fillId="12" borderId="51" xfId="0" applyFont="1" applyFill="1" applyBorder="1" applyAlignment="1">
      <alignment vertical="center"/>
    </xf>
    <xf numFmtId="0" fontId="12" fillId="12" borderId="44" xfId="0" applyFont="1" applyFill="1" applyBorder="1" applyAlignment="1">
      <alignment vertical="center"/>
    </xf>
    <xf numFmtId="0" fontId="12" fillId="12" borderId="60" xfId="0" applyFont="1" applyFill="1" applyBorder="1" applyAlignment="1">
      <alignment horizontal="right" vertical="center" indent="1"/>
    </xf>
    <xf numFmtId="44" fontId="13" fillId="12" borderId="21" xfId="1" applyFont="1" applyFill="1" applyBorder="1" applyAlignment="1">
      <alignment vertical="center"/>
    </xf>
    <xf numFmtId="0" fontId="12" fillId="12" borderId="27" xfId="0" applyFont="1" applyFill="1" applyBorder="1" applyAlignment="1">
      <alignment horizontal="right" vertical="center" indent="1"/>
    </xf>
    <xf numFmtId="44" fontId="13" fillId="12" borderId="28" xfId="0" applyNumberFormat="1" applyFont="1" applyFill="1" applyBorder="1" applyAlignment="1">
      <alignment horizontal="left" vertical="center"/>
    </xf>
    <xf numFmtId="44" fontId="13" fillId="12" borderId="28" xfId="0" applyNumberFormat="1" applyFont="1" applyFill="1" applyBorder="1" applyAlignment="1">
      <alignment horizontal="right" vertical="center"/>
    </xf>
    <xf numFmtId="168" fontId="11" fillId="10" borderId="23" xfId="1" applyNumberFormat="1" applyFont="1" applyFill="1" applyBorder="1" applyAlignment="1">
      <alignment vertical="center"/>
    </xf>
    <xf numFmtId="168" fontId="11" fillId="10" borderId="18" xfId="0" applyNumberFormat="1" applyFont="1" applyFill="1" applyBorder="1" applyAlignment="1">
      <alignment vertical="center"/>
    </xf>
    <xf numFmtId="168" fontId="11" fillId="10" borderId="59" xfId="1" applyNumberFormat="1" applyFont="1" applyFill="1" applyBorder="1" applyAlignment="1">
      <alignment vertical="center"/>
    </xf>
    <xf numFmtId="168" fontId="11" fillId="10" borderId="24" xfId="1" applyNumberFormat="1" applyFont="1" applyFill="1" applyBorder="1" applyAlignment="1">
      <alignment vertical="center"/>
    </xf>
    <xf numFmtId="168" fontId="11" fillId="10" borderId="26" xfId="0" applyNumberFormat="1" applyFont="1" applyFill="1" applyBorder="1" applyAlignment="1">
      <alignment vertical="center"/>
    </xf>
    <xf numFmtId="44" fontId="11" fillId="11" borderId="25" xfId="1" applyFont="1" applyFill="1" applyBorder="1" applyAlignment="1">
      <alignment vertical="center"/>
    </xf>
    <xf numFmtId="0" fontId="22" fillId="0" borderId="76" xfId="0" applyFont="1" applyBorder="1" applyAlignment="1">
      <alignment horizontal="center"/>
    </xf>
    <xf numFmtId="0" fontId="1" fillId="0" borderId="85" xfId="0" applyFont="1" applyBorder="1"/>
    <xf numFmtId="0" fontId="23" fillId="0" borderId="86" xfId="3" applyFont="1" applyBorder="1" applyAlignment="1">
      <alignment horizontal="center"/>
    </xf>
    <xf numFmtId="0" fontId="1" fillId="0" borderId="29" xfId="0" applyFont="1" applyBorder="1"/>
    <xf numFmtId="0" fontId="23" fillId="0" borderId="80" xfId="3" applyFont="1" applyBorder="1" applyAlignment="1">
      <alignment horizontal="center"/>
    </xf>
    <xf numFmtId="0" fontId="1" fillId="0" borderId="82" xfId="0" applyFont="1" applyBorder="1"/>
    <xf numFmtId="0" fontId="23" fillId="0" borderId="83" xfId="3" applyFont="1" applyBorder="1" applyAlignment="1">
      <alignment horizontal="center"/>
    </xf>
    <xf numFmtId="0" fontId="1" fillId="0" borderId="74" xfId="0" applyFont="1" applyBorder="1"/>
    <xf numFmtId="0" fontId="23" fillId="0" borderId="78" xfId="3" applyFont="1" applyBorder="1" applyAlignment="1">
      <alignment horizontal="center"/>
    </xf>
    <xf numFmtId="0" fontId="1" fillId="0" borderId="88" xfId="0" applyFont="1" applyBorder="1"/>
    <xf numFmtId="0" fontId="23" fillId="0" borderId="89" xfId="3" applyFont="1" applyBorder="1" applyAlignment="1">
      <alignment horizontal="center"/>
    </xf>
    <xf numFmtId="0" fontId="22" fillId="0" borderId="87" xfId="0" quotePrefix="1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/>
    </xf>
    <xf numFmtId="40" fontId="1" fillId="10" borderId="20" xfId="1" applyNumberFormat="1" applyFont="1" applyFill="1" applyBorder="1" applyAlignment="1">
      <alignment vertical="center" wrapText="1"/>
    </xf>
    <xf numFmtId="40" fontId="1" fillId="10" borderId="34" xfId="1" applyNumberFormat="1" applyFont="1" applyFill="1" applyBorder="1" applyAlignment="1">
      <alignment vertical="center" wrapText="1"/>
    </xf>
    <xf numFmtId="0" fontId="12" fillId="11" borderId="34" xfId="0" applyFont="1" applyFill="1" applyBorder="1" applyAlignment="1">
      <alignment horizontal="center" vertical="center"/>
    </xf>
    <xf numFmtId="0" fontId="12" fillId="11" borderId="41" xfId="0" applyFont="1" applyFill="1" applyBorder="1" applyAlignment="1">
      <alignment horizontal="center" vertical="center"/>
    </xf>
    <xf numFmtId="0" fontId="12" fillId="11" borderId="42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left" vertical="center" wrapText="1" indent="1"/>
    </xf>
    <xf numFmtId="0" fontId="1" fillId="10" borderId="36" xfId="0" applyFont="1" applyFill="1" applyBorder="1" applyAlignment="1">
      <alignment horizontal="left" vertical="center" wrapText="1" indent="1"/>
    </xf>
    <xf numFmtId="0" fontId="1" fillId="10" borderId="21" xfId="0" applyFont="1" applyFill="1" applyBorder="1" applyAlignment="1">
      <alignment horizontal="left" vertical="center" wrapText="1" indent="1"/>
    </xf>
    <xf numFmtId="0" fontId="1" fillId="10" borderId="34" xfId="0" applyFont="1" applyFill="1" applyBorder="1" applyAlignment="1">
      <alignment horizontal="left" vertical="center" wrapText="1" indent="1"/>
    </xf>
    <xf numFmtId="0" fontId="1" fillId="10" borderId="41" xfId="0" applyFont="1" applyFill="1" applyBorder="1" applyAlignment="1">
      <alignment horizontal="left" vertical="center" wrapText="1" indent="1"/>
    </xf>
    <xf numFmtId="0" fontId="1" fillId="10" borderId="42" xfId="0" applyFont="1" applyFill="1" applyBorder="1" applyAlignment="1">
      <alignment horizontal="left" vertical="center" wrapText="1" indent="1"/>
    </xf>
    <xf numFmtId="0" fontId="12" fillId="12" borderId="43" xfId="0" applyFont="1" applyFill="1" applyBorder="1" applyAlignment="1">
      <alignment horizontal="center" vertical="center"/>
    </xf>
    <xf numFmtId="0" fontId="12" fillId="12" borderId="44" xfId="0" applyFont="1" applyFill="1" applyBorder="1" applyAlignment="1">
      <alignment horizontal="center" vertical="center"/>
    </xf>
    <xf numFmtId="0" fontId="12" fillId="12" borderId="70" xfId="0" applyFon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36" xfId="0" applyFont="1" applyFill="1" applyBorder="1" applyAlignment="1">
      <alignment horizontal="center" vertical="center"/>
    </xf>
    <xf numFmtId="0" fontId="12" fillId="11" borderId="21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left" vertical="center" wrapText="1"/>
    </xf>
    <xf numFmtId="0" fontId="10" fillId="10" borderId="36" xfId="0" applyFont="1" applyFill="1" applyBorder="1" applyAlignment="1">
      <alignment horizontal="left" vertical="center" wrapText="1"/>
    </xf>
    <xf numFmtId="0" fontId="10" fillId="10" borderId="21" xfId="0" applyFont="1" applyFill="1" applyBorder="1" applyAlignment="1">
      <alignment horizontal="left" vertical="center" wrapText="1"/>
    </xf>
    <xf numFmtId="167" fontId="5" fillId="4" borderId="10" xfId="0" applyNumberFormat="1" applyFont="1" applyFill="1" applyBorder="1" applyAlignment="1">
      <alignment horizontal="center" vertical="center"/>
    </xf>
    <xf numFmtId="167" fontId="5" fillId="4" borderId="9" xfId="0" applyNumberFormat="1" applyFont="1" applyFill="1" applyBorder="1" applyAlignment="1">
      <alignment horizontal="center" vertical="center"/>
    </xf>
    <xf numFmtId="0" fontId="17" fillId="3" borderId="67" xfId="0" applyFont="1" applyFill="1" applyBorder="1" applyAlignment="1">
      <alignment horizontal="center" vertical="center" wrapText="1"/>
    </xf>
    <xf numFmtId="0" fontId="17" fillId="3" borderId="68" xfId="0" applyFont="1" applyFill="1" applyBorder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71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167" fontId="5" fillId="4" borderId="55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0" borderId="66" xfId="0" applyFont="1" applyBorder="1" applyAlignment="1">
      <alignment horizontal="right" vertical="center"/>
    </xf>
    <xf numFmtId="14" fontId="17" fillId="0" borderId="66" xfId="0" applyNumberFormat="1" applyFont="1" applyBorder="1" applyAlignment="1">
      <alignment horizontal="left" vertical="center"/>
    </xf>
    <xf numFmtId="0" fontId="17" fillId="0" borderId="66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0" borderId="65" xfId="0" applyFont="1" applyBorder="1" applyAlignment="1">
      <alignment horizontal="right" vertical="center"/>
    </xf>
    <xf numFmtId="0" fontId="17" fillId="0" borderId="65" xfId="0" applyFont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3" fillId="0" borderId="64" xfId="0" applyFont="1" applyBorder="1" applyAlignment="1">
      <alignment horizontal="right" vertical="center"/>
    </xf>
    <xf numFmtId="0" fontId="17" fillId="0" borderId="64" xfId="0" applyFont="1" applyBorder="1" applyAlignment="1">
      <alignment horizontal="left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3" fillId="0" borderId="75" xfId="0" applyFont="1" applyBorder="1" applyAlignment="1">
      <alignment horizontal="right" vertical="center"/>
    </xf>
    <xf numFmtId="0" fontId="22" fillId="0" borderId="77" xfId="0" quotePrefix="1" applyFont="1" applyBorder="1" applyAlignment="1">
      <alignment horizontal="center" vertical="center"/>
    </xf>
    <xf numFmtId="0" fontId="22" fillId="0" borderId="81" xfId="0" applyFont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2" fillId="0" borderId="84" xfId="0" quotePrefix="1" applyFont="1" applyBorder="1" applyAlignment="1">
      <alignment horizontal="center" vertical="center"/>
    </xf>
    <xf numFmtId="0" fontId="10" fillId="10" borderId="20" xfId="0" applyFont="1" applyFill="1" applyBorder="1" applyAlignment="1">
      <alignment horizontal="left" vertical="center" wrapText="1" indent="1"/>
    </xf>
    <xf numFmtId="0" fontId="10" fillId="10" borderId="36" xfId="0" applyFont="1" applyFill="1" applyBorder="1" applyAlignment="1">
      <alignment horizontal="left" vertical="center" wrapText="1" indent="1"/>
    </xf>
    <xf numFmtId="0" fontId="10" fillId="10" borderId="21" xfId="0" applyFont="1" applyFill="1" applyBorder="1" applyAlignment="1">
      <alignment horizontal="left" vertical="center" wrapText="1" indent="1"/>
    </xf>
    <xf numFmtId="0" fontId="10" fillId="10" borderId="34" xfId="0" applyFont="1" applyFill="1" applyBorder="1" applyAlignment="1">
      <alignment horizontal="left" vertical="center" wrapText="1" indent="1"/>
    </xf>
    <xf numFmtId="0" fontId="10" fillId="10" borderId="41" xfId="0" applyFont="1" applyFill="1" applyBorder="1" applyAlignment="1">
      <alignment horizontal="left" vertical="center" wrapText="1" indent="1"/>
    </xf>
    <xf numFmtId="0" fontId="10" fillId="10" borderId="42" xfId="0" applyFont="1" applyFill="1" applyBorder="1" applyAlignment="1">
      <alignment horizontal="left" vertical="center" wrapText="1" inden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72" xfId="0" applyFont="1" applyFill="1" applyBorder="1" applyAlignment="1">
      <alignment horizontal="center" vertical="center" wrapText="1"/>
    </xf>
    <xf numFmtId="0" fontId="8" fillId="6" borderId="73" xfId="0" applyFont="1" applyFill="1" applyBorder="1" applyAlignment="1">
      <alignment horizontal="center" vertical="center" wrapText="1"/>
    </xf>
    <xf numFmtId="0" fontId="1" fillId="10" borderId="20" xfId="0" applyFont="1" applyFill="1" applyBorder="1" applyAlignment="1">
      <alignment horizontal="left" vertical="center" wrapText="1" indent="2"/>
    </xf>
    <xf numFmtId="0" fontId="1" fillId="10" borderId="36" xfId="0" applyFont="1" applyFill="1" applyBorder="1" applyAlignment="1">
      <alignment horizontal="left" vertical="center" wrapText="1" indent="2"/>
    </xf>
    <xf numFmtId="0" fontId="1" fillId="10" borderId="21" xfId="0" applyFont="1" applyFill="1" applyBorder="1" applyAlignment="1">
      <alignment horizontal="left" vertical="center" wrapText="1" indent="2"/>
    </xf>
    <xf numFmtId="0" fontId="18" fillId="4" borderId="8" xfId="3" applyFill="1" applyBorder="1" applyAlignment="1">
      <alignment horizontal="center" vertical="center"/>
    </xf>
    <xf numFmtId="0" fontId="19" fillId="10" borderId="34" xfId="0" applyFont="1" applyFill="1" applyBorder="1" applyAlignment="1">
      <alignment horizontal="left" vertical="center" wrapText="1" indent="1"/>
    </xf>
    <xf numFmtId="0" fontId="19" fillId="10" borderId="41" xfId="0" applyFont="1" applyFill="1" applyBorder="1" applyAlignment="1">
      <alignment horizontal="left" vertical="center" wrapText="1" indent="1"/>
    </xf>
    <xf numFmtId="0" fontId="19" fillId="10" borderId="42" xfId="0" applyFont="1" applyFill="1" applyBorder="1" applyAlignment="1">
      <alignment horizontal="left" vertical="center" wrapText="1" indent="1"/>
    </xf>
    <xf numFmtId="0" fontId="19" fillId="10" borderId="20" xfId="0" applyFont="1" applyFill="1" applyBorder="1" applyAlignment="1">
      <alignment horizontal="left" vertical="center" wrapText="1" indent="1"/>
    </xf>
    <xf numFmtId="0" fontId="19" fillId="10" borderId="36" xfId="0" applyFont="1" applyFill="1" applyBorder="1" applyAlignment="1">
      <alignment horizontal="left" vertical="center" wrapText="1" indent="1"/>
    </xf>
    <xf numFmtId="0" fontId="19" fillId="10" borderId="21" xfId="0" applyFont="1" applyFill="1" applyBorder="1" applyAlignment="1">
      <alignment horizontal="left" vertical="center" wrapText="1" indent="1"/>
    </xf>
    <xf numFmtId="0" fontId="19" fillId="10" borderId="20" xfId="0" applyFont="1" applyFill="1" applyBorder="1" applyAlignment="1">
      <alignment horizontal="left" vertical="center" wrapText="1"/>
    </xf>
    <xf numFmtId="0" fontId="19" fillId="10" borderId="36" xfId="0" applyFont="1" applyFill="1" applyBorder="1" applyAlignment="1">
      <alignment horizontal="left" vertical="center" wrapText="1"/>
    </xf>
    <xf numFmtId="0" fontId="19" fillId="10" borderId="21" xfId="0" applyFont="1" applyFill="1" applyBorder="1" applyAlignment="1">
      <alignment horizontal="left" vertical="center" wrapText="1"/>
    </xf>
    <xf numFmtId="0" fontId="1" fillId="10" borderId="20" xfId="0" applyFont="1" applyFill="1" applyBorder="1" applyAlignment="1">
      <alignment horizontal="left" vertical="center" wrapText="1"/>
    </xf>
    <xf numFmtId="0" fontId="1" fillId="10" borderId="36" xfId="0" applyFont="1" applyFill="1" applyBorder="1" applyAlignment="1">
      <alignment horizontal="left" vertical="center" wrapText="1"/>
    </xf>
    <xf numFmtId="0" fontId="1" fillId="10" borderId="21" xfId="0" applyFont="1" applyFill="1" applyBorder="1" applyAlignment="1">
      <alignment horizontal="left" vertical="center" wrapText="1"/>
    </xf>
    <xf numFmtId="0" fontId="16" fillId="10" borderId="34" xfId="0" applyFont="1" applyFill="1" applyBorder="1" applyAlignment="1">
      <alignment horizontal="left" vertical="center" wrapText="1" indent="1"/>
    </xf>
    <xf numFmtId="0" fontId="16" fillId="10" borderId="41" xfId="0" applyFont="1" applyFill="1" applyBorder="1" applyAlignment="1">
      <alignment horizontal="left" vertical="center" wrapText="1" indent="1"/>
    </xf>
    <xf numFmtId="0" fontId="16" fillId="10" borderId="42" xfId="0" applyFont="1" applyFill="1" applyBorder="1" applyAlignment="1">
      <alignment horizontal="left" vertical="center" wrapText="1" indent="1"/>
    </xf>
    <xf numFmtId="0" fontId="16" fillId="10" borderId="20" xfId="0" applyFont="1" applyFill="1" applyBorder="1" applyAlignment="1">
      <alignment horizontal="left" vertical="center" wrapText="1" indent="1"/>
    </xf>
    <xf numFmtId="0" fontId="16" fillId="10" borderId="36" xfId="0" applyFont="1" applyFill="1" applyBorder="1" applyAlignment="1">
      <alignment horizontal="left" vertical="center" wrapText="1" indent="1"/>
    </xf>
    <xf numFmtId="0" fontId="16" fillId="10" borderId="21" xfId="0" applyFont="1" applyFill="1" applyBorder="1" applyAlignment="1">
      <alignment horizontal="left" vertical="center" wrapText="1" indent="1"/>
    </xf>
    <xf numFmtId="0" fontId="21" fillId="10" borderId="20" xfId="0" applyFont="1" applyFill="1" applyBorder="1" applyAlignment="1">
      <alignment horizontal="left" vertical="center" wrapText="1"/>
    </xf>
    <xf numFmtId="0" fontId="21" fillId="10" borderId="36" xfId="0" applyFont="1" applyFill="1" applyBorder="1" applyAlignment="1">
      <alignment horizontal="left" vertical="center" wrapText="1"/>
    </xf>
    <xf numFmtId="0" fontId="21" fillId="10" borderId="21" xfId="0" applyFont="1" applyFill="1" applyBorder="1" applyAlignment="1">
      <alignment horizontal="left" vertical="center" wrapText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174"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  <dxf>
      <font>
        <color rgb="FFFF0000"/>
      </font>
    </dxf>
    <dxf>
      <font>
        <color rgb="FF00BE5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tyles" Target="styles.xml"/><Relationship Id="rId9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sheetMetadata" Target="metadata.xml"/><Relationship Id="rId98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EED4-285C-4CFE-86AC-12E0F523EDB8}">
  <dimension ref="B2:D8"/>
  <sheetViews>
    <sheetView showGridLines="0" workbookViewId="0">
      <selection activeCell="B4" sqref="B4:C4"/>
    </sheetView>
  </sheetViews>
  <sheetFormatPr defaultRowHeight="15"/>
  <cols>
    <col min="3" max="3" width="10.42578125" customWidth="1"/>
    <col min="4" max="4" width="22.42578125" customWidth="1"/>
  </cols>
  <sheetData>
    <row r="2" spans="2:4" ht="15.75" thickBot="1"/>
    <row r="3" spans="2:4" ht="16.5" thickTop="1" thickBot="1">
      <c r="B3" s="147" t="s">
        <v>0</v>
      </c>
      <c r="C3" s="147"/>
      <c r="D3" s="58"/>
    </row>
    <row r="4" spans="2:4" ht="16.5" thickTop="1" thickBot="1">
      <c r="B4" s="147" t="s">
        <v>1</v>
      </c>
      <c r="C4" s="147"/>
      <c r="D4" s="58" t="s">
        <v>2</v>
      </c>
    </row>
    <row r="5" spans="2:4" ht="16.5" thickTop="1" thickBot="1">
      <c r="B5" s="147" t="s">
        <v>3</v>
      </c>
      <c r="C5" s="147"/>
      <c r="D5" s="59" t="s">
        <v>4</v>
      </c>
    </row>
    <row r="6" spans="2:4" ht="16.5" thickTop="1" thickBot="1">
      <c r="B6" s="147" t="s">
        <v>5</v>
      </c>
      <c r="C6" s="147"/>
      <c r="D6" s="58"/>
    </row>
    <row r="7" spans="2:4" ht="16.5" thickTop="1" thickBot="1">
      <c r="B7" s="147" t="s">
        <v>6</v>
      </c>
      <c r="C7" s="147"/>
      <c r="D7" s="58"/>
    </row>
    <row r="8" spans="2:4" ht="15.75" thickTop="1"/>
  </sheetData>
  <mergeCells count="5">
    <mergeCell ref="B4:C4"/>
    <mergeCell ref="B5:C5"/>
    <mergeCell ref="B3:C3"/>
    <mergeCell ref="B6:C6"/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A2A5-E2B5-4C58-9965-F46AA8420319}">
  <sheetPr>
    <pageSetUpPr autoPageBreaks="0"/>
  </sheetPr>
  <dimension ref="B1:D86"/>
  <sheetViews>
    <sheetView showGridLines="0" zoomScaleNormal="100" workbookViewId="0">
      <selection activeCell="H9" sqref="H9"/>
    </sheetView>
  </sheetViews>
  <sheetFormatPr defaultRowHeight="15"/>
  <cols>
    <col min="1" max="1" width="7.140625" customWidth="1"/>
    <col min="2" max="2" width="10.140625" bestFit="1" customWidth="1"/>
    <col min="3" max="3" width="31.5703125" bestFit="1" customWidth="1"/>
    <col min="4" max="4" width="6" bestFit="1" customWidth="1"/>
  </cols>
  <sheetData>
    <row r="1" spans="2:4" ht="10.5" customHeight="1" thickBot="1"/>
    <row r="2" spans="2:4" ht="16.5" thickBot="1">
      <c r="B2" s="77" t="s">
        <v>7</v>
      </c>
      <c r="C2" s="77" t="s">
        <v>8</v>
      </c>
      <c r="D2" s="77" t="s">
        <v>9</v>
      </c>
    </row>
    <row r="3" spans="2:4">
      <c r="B3" s="151" t="s">
        <v>10</v>
      </c>
      <c r="C3" s="78" t="s">
        <v>11</v>
      </c>
      <c r="D3" s="79" t="s">
        <v>9</v>
      </c>
    </row>
    <row r="4" spans="2:4">
      <c r="B4" s="150"/>
      <c r="C4" s="80" t="s">
        <v>12</v>
      </c>
      <c r="D4" s="81" t="s">
        <v>9</v>
      </c>
    </row>
    <row r="5" spans="2:4" ht="15.75" thickBot="1">
      <c r="B5" s="149"/>
      <c r="C5" s="82" t="s">
        <v>13</v>
      </c>
      <c r="D5" s="83" t="s">
        <v>9</v>
      </c>
    </row>
    <row r="6" spans="2:4">
      <c r="B6" s="148" t="s">
        <v>14</v>
      </c>
      <c r="C6" s="84" t="s">
        <v>15</v>
      </c>
      <c r="D6" s="85" t="s">
        <v>9</v>
      </c>
    </row>
    <row r="7" spans="2:4">
      <c r="B7" s="150"/>
      <c r="C7" s="80" t="s">
        <v>16</v>
      </c>
      <c r="D7" s="81" t="s">
        <v>9</v>
      </c>
    </row>
    <row r="8" spans="2:4" ht="15.75" thickBot="1">
      <c r="B8" s="149"/>
      <c r="C8" s="82" t="s">
        <v>17</v>
      </c>
      <c r="D8" s="83" t="s">
        <v>9</v>
      </c>
    </row>
    <row r="9" spans="2:4" ht="15.75" thickBot="1">
      <c r="B9" s="88" t="s">
        <v>18</v>
      </c>
      <c r="C9" s="86" t="s">
        <v>19</v>
      </c>
      <c r="D9" s="87" t="s">
        <v>9</v>
      </c>
    </row>
    <row r="10" spans="2:4">
      <c r="B10" s="148" t="s">
        <v>20</v>
      </c>
      <c r="C10" s="84" t="s">
        <v>21</v>
      </c>
      <c r="D10" s="85" t="s">
        <v>9</v>
      </c>
    </row>
    <row r="11" spans="2:4" ht="15.75" thickBot="1">
      <c r="B11" s="149"/>
      <c r="C11" s="82" t="s">
        <v>22</v>
      </c>
      <c r="D11" s="83" t="s">
        <v>9</v>
      </c>
    </row>
    <row r="12" spans="2:4">
      <c r="B12" s="148" t="s">
        <v>23</v>
      </c>
      <c r="C12" s="84" t="s">
        <v>24</v>
      </c>
      <c r="D12" s="85" t="s">
        <v>9</v>
      </c>
    </row>
    <row r="13" spans="2:4">
      <c r="B13" s="150"/>
      <c r="C13" s="80" t="s">
        <v>25</v>
      </c>
      <c r="D13" s="81" t="s">
        <v>9</v>
      </c>
    </row>
    <row r="14" spans="2:4">
      <c r="B14" s="150"/>
      <c r="C14" s="80" t="s">
        <v>26</v>
      </c>
      <c r="D14" s="81" t="s">
        <v>9</v>
      </c>
    </row>
    <row r="15" spans="2:4">
      <c r="B15" s="150"/>
      <c r="C15" s="80" t="s">
        <v>27</v>
      </c>
      <c r="D15" s="81" t="s">
        <v>9</v>
      </c>
    </row>
    <row r="16" spans="2:4">
      <c r="B16" s="150"/>
      <c r="C16" s="80" t="s">
        <v>28</v>
      </c>
      <c r="D16" s="81" t="s">
        <v>9</v>
      </c>
    </row>
    <row r="17" spans="2:4" ht="15.75" thickBot="1">
      <c r="B17" s="149"/>
      <c r="C17" s="82" t="s">
        <v>29</v>
      </c>
      <c r="D17" s="83" t="s">
        <v>9</v>
      </c>
    </row>
    <row r="18" spans="2:4">
      <c r="B18" s="148" t="s">
        <v>30</v>
      </c>
      <c r="C18" s="84" t="s">
        <v>31</v>
      </c>
      <c r="D18" s="85" t="s">
        <v>9</v>
      </c>
    </row>
    <row r="19" spans="2:4">
      <c r="B19" s="150"/>
      <c r="C19" s="80" t="s">
        <v>32</v>
      </c>
      <c r="D19" s="81" t="s">
        <v>9</v>
      </c>
    </row>
    <row r="20" spans="2:4">
      <c r="B20" s="150"/>
      <c r="C20" s="80" t="s">
        <v>33</v>
      </c>
      <c r="D20" s="81" t="s">
        <v>9</v>
      </c>
    </row>
    <row r="21" spans="2:4">
      <c r="B21" s="150"/>
      <c r="C21" s="80" t="s">
        <v>34</v>
      </c>
      <c r="D21" s="81" t="s">
        <v>9</v>
      </c>
    </row>
    <row r="22" spans="2:4">
      <c r="B22" s="150"/>
      <c r="C22" s="80" t="s">
        <v>35</v>
      </c>
      <c r="D22" s="81" t="s">
        <v>9</v>
      </c>
    </row>
    <row r="23" spans="2:4">
      <c r="B23" s="150"/>
      <c r="C23" s="80" t="s">
        <v>36</v>
      </c>
      <c r="D23" s="81" t="s">
        <v>9</v>
      </c>
    </row>
    <row r="24" spans="2:4">
      <c r="B24" s="150"/>
      <c r="C24" s="80" t="s">
        <v>37</v>
      </c>
      <c r="D24" s="81" t="s">
        <v>9</v>
      </c>
    </row>
    <row r="25" spans="2:4">
      <c r="B25" s="150"/>
      <c r="C25" s="80" t="s">
        <v>38</v>
      </c>
      <c r="D25" s="81" t="s">
        <v>9</v>
      </c>
    </row>
    <row r="26" spans="2:4">
      <c r="B26" s="150"/>
      <c r="C26" s="80" t="s">
        <v>39</v>
      </c>
      <c r="D26" s="81" t="s">
        <v>9</v>
      </c>
    </row>
    <row r="27" spans="2:4">
      <c r="B27" s="150"/>
      <c r="C27" s="80" t="s">
        <v>40</v>
      </c>
      <c r="D27" s="81" t="s">
        <v>9</v>
      </c>
    </row>
    <row r="28" spans="2:4" ht="15.75" thickBot="1">
      <c r="B28" s="149"/>
      <c r="C28" s="82" t="s">
        <v>41</v>
      </c>
      <c r="D28" s="83" t="s">
        <v>9</v>
      </c>
    </row>
    <row r="29" spans="2:4">
      <c r="B29" s="148" t="s">
        <v>42</v>
      </c>
      <c r="C29" s="84" t="s">
        <v>43</v>
      </c>
      <c r="D29" s="85" t="s">
        <v>9</v>
      </c>
    </row>
    <row r="30" spans="2:4">
      <c r="B30" s="150"/>
      <c r="C30" s="80" t="s">
        <v>44</v>
      </c>
      <c r="D30" s="81" t="s">
        <v>9</v>
      </c>
    </row>
    <row r="31" spans="2:4">
      <c r="B31" s="150"/>
      <c r="C31" s="80" t="s">
        <v>45</v>
      </c>
      <c r="D31" s="81" t="s">
        <v>9</v>
      </c>
    </row>
    <row r="32" spans="2:4">
      <c r="B32" s="150"/>
      <c r="C32" s="80" t="s">
        <v>46</v>
      </c>
      <c r="D32" s="81" t="s">
        <v>9</v>
      </c>
    </row>
    <row r="33" spans="2:4">
      <c r="B33" s="150"/>
      <c r="C33" s="80" t="s">
        <v>47</v>
      </c>
      <c r="D33" s="81" t="s">
        <v>9</v>
      </c>
    </row>
    <row r="34" spans="2:4" ht="15.75" thickBot="1">
      <c r="B34" s="149"/>
      <c r="C34" s="82" t="s">
        <v>48</v>
      </c>
      <c r="D34" s="83" t="s">
        <v>9</v>
      </c>
    </row>
    <row r="35" spans="2:4">
      <c r="B35" s="148" t="s">
        <v>49</v>
      </c>
      <c r="C35" s="84" t="s">
        <v>50</v>
      </c>
      <c r="D35" s="85" t="s">
        <v>9</v>
      </c>
    </row>
    <row r="36" spans="2:4">
      <c r="B36" s="150"/>
      <c r="C36" s="80" t="s">
        <v>51</v>
      </c>
      <c r="D36" s="81" t="s">
        <v>9</v>
      </c>
    </row>
    <row r="37" spans="2:4">
      <c r="B37" s="150"/>
      <c r="C37" s="80" t="s">
        <v>52</v>
      </c>
      <c r="D37" s="81" t="s">
        <v>9</v>
      </c>
    </row>
    <row r="38" spans="2:4">
      <c r="B38" s="150"/>
      <c r="C38" s="80" t="s">
        <v>53</v>
      </c>
      <c r="D38" s="81" t="s">
        <v>9</v>
      </c>
    </row>
    <row r="39" spans="2:4">
      <c r="B39" s="150"/>
      <c r="C39" s="80" t="s">
        <v>54</v>
      </c>
      <c r="D39" s="81" t="s">
        <v>9</v>
      </c>
    </row>
    <row r="40" spans="2:4">
      <c r="B40" s="150"/>
      <c r="C40" s="80" t="s">
        <v>55</v>
      </c>
      <c r="D40" s="81" t="s">
        <v>9</v>
      </c>
    </row>
    <row r="41" spans="2:4">
      <c r="B41" s="150"/>
      <c r="C41" s="80" t="s">
        <v>56</v>
      </c>
      <c r="D41" s="81" t="s">
        <v>9</v>
      </c>
    </row>
    <row r="42" spans="2:4">
      <c r="B42" s="150"/>
      <c r="C42" s="80" t="s">
        <v>57</v>
      </c>
      <c r="D42" s="81" t="s">
        <v>9</v>
      </c>
    </row>
    <row r="43" spans="2:4" ht="15.75" thickBot="1">
      <c r="B43" s="149"/>
      <c r="C43" s="82" t="s">
        <v>58</v>
      </c>
      <c r="D43" s="83" t="s">
        <v>9</v>
      </c>
    </row>
    <row r="44" spans="2:4">
      <c r="B44" s="148" t="s">
        <v>59</v>
      </c>
      <c r="C44" s="84" t="s">
        <v>60</v>
      </c>
      <c r="D44" s="85" t="s">
        <v>9</v>
      </c>
    </row>
    <row r="45" spans="2:4">
      <c r="B45" s="150"/>
      <c r="C45" s="80" t="s">
        <v>61</v>
      </c>
      <c r="D45" s="81" t="s">
        <v>9</v>
      </c>
    </row>
    <row r="46" spans="2:4">
      <c r="B46" s="150"/>
      <c r="C46" s="80" t="s">
        <v>62</v>
      </c>
      <c r="D46" s="81" t="s">
        <v>9</v>
      </c>
    </row>
    <row r="47" spans="2:4">
      <c r="B47" s="150"/>
      <c r="C47" s="80" t="s">
        <v>63</v>
      </c>
      <c r="D47" s="81" t="s">
        <v>9</v>
      </c>
    </row>
    <row r="48" spans="2:4">
      <c r="B48" s="150"/>
      <c r="C48" s="80" t="s">
        <v>64</v>
      </c>
      <c r="D48" s="81" t="s">
        <v>9</v>
      </c>
    </row>
    <row r="49" spans="2:4">
      <c r="B49" s="150"/>
      <c r="C49" s="80" t="s">
        <v>65</v>
      </c>
      <c r="D49" s="81" t="s">
        <v>9</v>
      </c>
    </row>
    <row r="50" spans="2:4">
      <c r="B50" s="150"/>
      <c r="C50" s="80" t="s">
        <v>66</v>
      </c>
      <c r="D50" s="81" t="s">
        <v>9</v>
      </c>
    </row>
    <row r="51" spans="2:4">
      <c r="B51" s="150"/>
      <c r="C51" s="80" t="s">
        <v>67</v>
      </c>
      <c r="D51" s="81" t="s">
        <v>9</v>
      </c>
    </row>
    <row r="52" spans="2:4">
      <c r="B52" s="150"/>
      <c r="C52" s="80" t="s">
        <v>68</v>
      </c>
      <c r="D52" s="81" t="s">
        <v>9</v>
      </c>
    </row>
    <row r="53" spans="2:4">
      <c r="B53" s="150"/>
      <c r="C53" s="80" t="s">
        <v>69</v>
      </c>
      <c r="D53" s="81" t="s">
        <v>9</v>
      </c>
    </row>
    <row r="54" spans="2:4" ht="15.75" thickBot="1">
      <c r="B54" s="149"/>
      <c r="C54" s="82" t="s">
        <v>70</v>
      </c>
      <c r="D54" s="83" t="s">
        <v>9</v>
      </c>
    </row>
    <row r="55" spans="2:4">
      <c r="B55" s="148" t="s">
        <v>71</v>
      </c>
      <c r="C55" s="84" t="s">
        <v>72</v>
      </c>
      <c r="D55" s="85" t="s">
        <v>9</v>
      </c>
    </row>
    <row r="56" spans="2:4">
      <c r="B56" s="150"/>
      <c r="C56" s="80" t="s">
        <v>73</v>
      </c>
      <c r="D56" s="81" t="s">
        <v>9</v>
      </c>
    </row>
    <row r="57" spans="2:4">
      <c r="B57" s="150"/>
      <c r="C57" s="80" t="s">
        <v>74</v>
      </c>
      <c r="D57" s="81" t="s">
        <v>9</v>
      </c>
    </row>
    <row r="58" spans="2:4" ht="15.75" thickBot="1">
      <c r="B58" s="149"/>
      <c r="C58" s="82" t="s">
        <v>75</v>
      </c>
      <c r="D58" s="83" t="s">
        <v>9</v>
      </c>
    </row>
    <row r="59" spans="2:4">
      <c r="B59" s="148" t="s">
        <v>76</v>
      </c>
      <c r="C59" s="84" t="s">
        <v>77</v>
      </c>
      <c r="D59" s="85" t="s">
        <v>9</v>
      </c>
    </row>
    <row r="60" spans="2:4">
      <c r="B60" s="150"/>
      <c r="C60" s="80" t="s">
        <v>78</v>
      </c>
      <c r="D60" s="81" t="s">
        <v>9</v>
      </c>
    </row>
    <row r="61" spans="2:4">
      <c r="B61" s="150"/>
      <c r="C61" s="80" t="s">
        <v>79</v>
      </c>
      <c r="D61" s="81" t="s">
        <v>9</v>
      </c>
    </row>
    <row r="62" spans="2:4">
      <c r="B62" s="150"/>
      <c r="C62" s="80" t="s">
        <v>80</v>
      </c>
      <c r="D62" s="81" t="s">
        <v>9</v>
      </c>
    </row>
    <row r="63" spans="2:4" ht="15.75" thickBot="1">
      <c r="B63" s="149"/>
      <c r="C63" s="82" t="s">
        <v>81</v>
      </c>
      <c r="D63" s="83" t="s">
        <v>9</v>
      </c>
    </row>
    <row r="64" spans="2:4">
      <c r="B64" s="148" t="s">
        <v>82</v>
      </c>
      <c r="C64" s="84" t="s">
        <v>83</v>
      </c>
      <c r="D64" s="85" t="s">
        <v>9</v>
      </c>
    </row>
    <row r="65" spans="2:4">
      <c r="B65" s="150"/>
      <c r="C65" s="80" t="s">
        <v>84</v>
      </c>
      <c r="D65" s="81" t="s">
        <v>9</v>
      </c>
    </row>
    <row r="66" spans="2:4" ht="15.75" thickBot="1">
      <c r="B66" s="149"/>
      <c r="C66" s="82" t="s">
        <v>85</v>
      </c>
      <c r="D66" s="83" t="s">
        <v>9</v>
      </c>
    </row>
    <row r="67" spans="2:4">
      <c r="B67" s="148" t="s">
        <v>86</v>
      </c>
      <c r="C67" s="84" t="s">
        <v>87</v>
      </c>
      <c r="D67" s="85" t="s">
        <v>9</v>
      </c>
    </row>
    <row r="68" spans="2:4" ht="15.75" thickBot="1">
      <c r="B68" s="149"/>
      <c r="C68" s="82" t="s">
        <v>88</v>
      </c>
      <c r="D68" s="83" t="s">
        <v>9</v>
      </c>
    </row>
    <row r="69" spans="2:4" ht="15.75" thickBot="1">
      <c r="B69" s="88" t="s">
        <v>89</v>
      </c>
      <c r="C69" s="86" t="s">
        <v>90</v>
      </c>
      <c r="D69" s="87" t="s">
        <v>9</v>
      </c>
    </row>
    <row r="70" spans="2:4" ht="15.75" thickBot="1">
      <c r="B70" s="88" t="s">
        <v>91</v>
      </c>
      <c r="C70" s="86" t="s">
        <v>92</v>
      </c>
      <c r="D70" s="87" t="s">
        <v>9</v>
      </c>
    </row>
    <row r="71" spans="2:4" ht="15.75" thickBot="1">
      <c r="B71" s="88" t="s">
        <v>93</v>
      </c>
      <c r="C71" s="86" t="s">
        <v>94</v>
      </c>
      <c r="D71" s="87" t="s">
        <v>9</v>
      </c>
    </row>
    <row r="72" spans="2:4" ht="15.75" thickBot="1">
      <c r="B72" s="88" t="s">
        <v>95</v>
      </c>
      <c r="C72" s="86" t="s">
        <v>96</v>
      </c>
      <c r="D72" s="87" t="s">
        <v>9</v>
      </c>
    </row>
    <row r="73" spans="2:4">
      <c r="B73" s="148" t="s">
        <v>97</v>
      </c>
      <c r="C73" s="84" t="s">
        <v>98</v>
      </c>
      <c r="D73" s="85" t="s">
        <v>9</v>
      </c>
    </row>
    <row r="74" spans="2:4" ht="15.75" thickBot="1">
      <c r="B74" s="149"/>
      <c r="C74" s="82" t="s">
        <v>99</v>
      </c>
      <c r="D74" s="83" t="s">
        <v>9</v>
      </c>
    </row>
    <row r="75" spans="2:4">
      <c r="B75" s="148" t="s">
        <v>100</v>
      </c>
      <c r="C75" s="84" t="s">
        <v>101</v>
      </c>
      <c r="D75" s="85" t="s">
        <v>9</v>
      </c>
    </row>
    <row r="76" spans="2:4">
      <c r="B76" s="150"/>
      <c r="C76" s="80" t="s">
        <v>102</v>
      </c>
      <c r="D76" s="81" t="s">
        <v>9</v>
      </c>
    </row>
    <row r="77" spans="2:4" ht="15.75" thickBot="1">
      <c r="B77" s="149"/>
      <c r="C77" s="82" t="s">
        <v>103</v>
      </c>
      <c r="D77" s="83" t="s">
        <v>9</v>
      </c>
    </row>
    <row r="78" spans="2:4" ht="15.75" thickBot="1">
      <c r="B78" s="88" t="s">
        <v>104</v>
      </c>
      <c r="C78" s="86" t="s">
        <v>105</v>
      </c>
      <c r="D78" s="87" t="s">
        <v>9</v>
      </c>
    </row>
    <row r="79" spans="2:4">
      <c r="B79" s="148" t="s">
        <v>106</v>
      </c>
      <c r="C79" s="84" t="s">
        <v>107</v>
      </c>
      <c r="D79" s="85" t="s">
        <v>9</v>
      </c>
    </row>
    <row r="80" spans="2:4">
      <c r="B80" s="150"/>
      <c r="C80" s="80" t="s">
        <v>108</v>
      </c>
      <c r="D80" s="81" t="s">
        <v>9</v>
      </c>
    </row>
    <row r="81" spans="2:4">
      <c r="B81" s="150"/>
      <c r="C81" s="80" t="s">
        <v>109</v>
      </c>
      <c r="D81" s="81" t="s">
        <v>9</v>
      </c>
    </row>
    <row r="82" spans="2:4">
      <c r="B82" s="150"/>
      <c r="C82" s="80" t="s">
        <v>110</v>
      </c>
      <c r="D82" s="81" t="s">
        <v>9</v>
      </c>
    </row>
    <row r="83" spans="2:4">
      <c r="B83" s="150"/>
      <c r="C83" s="80" t="s">
        <v>111</v>
      </c>
      <c r="D83" s="81" t="s">
        <v>9</v>
      </c>
    </row>
    <row r="84" spans="2:4">
      <c r="B84" s="150"/>
      <c r="C84" s="80" t="s">
        <v>112</v>
      </c>
      <c r="D84" s="81" t="s">
        <v>9</v>
      </c>
    </row>
    <row r="85" spans="2:4" ht="15.75" thickBot="1">
      <c r="B85" s="149"/>
      <c r="C85" s="82" t="s">
        <v>113</v>
      </c>
      <c r="D85" s="83" t="s">
        <v>9</v>
      </c>
    </row>
    <row r="86" spans="2:4" ht="15.75" thickBot="1">
      <c r="B86" s="88" t="s">
        <v>114</v>
      </c>
      <c r="C86" s="86" t="s">
        <v>115</v>
      </c>
      <c r="D86" s="87" t="s">
        <v>9</v>
      </c>
    </row>
  </sheetData>
  <mergeCells count="15">
    <mergeCell ref="B59:B63"/>
    <mergeCell ref="B79:B85"/>
    <mergeCell ref="B75:B77"/>
    <mergeCell ref="B73:B74"/>
    <mergeCell ref="B67:B68"/>
    <mergeCell ref="B64:B66"/>
    <mergeCell ref="B10:B11"/>
    <mergeCell ref="B6:B8"/>
    <mergeCell ref="B3:B5"/>
    <mergeCell ref="B55:B58"/>
    <mergeCell ref="B44:B54"/>
    <mergeCell ref="B35:B43"/>
    <mergeCell ref="B29:B34"/>
    <mergeCell ref="B18:B28"/>
    <mergeCell ref="B12:B17"/>
  </mergeCells>
  <phoneticPr fontId="20" type="noConversion"/>
  <hyperlinks>
    <hyperlink ref="D4" location="'02-9005 Final Clean'!A1" display="Link" xr:uid="{F99AF97E-6354-4F53-A8F8-EF0685E89F98}"/>
    <hyperlink ref="D5" location="'02-9200 Survey'!A1" display="Link" xr:uid="{1C4FDE5E-4149-4F67-83B6-7C4AEA412F66}"/>
    <hyperlink ref="D6" location="'03-3000 Concrete'!A1" display="Link" xr:uid="{03DB7993-0AAF-4774-B8AD-8A22315F0FDA}"/>
    <hyperlink ref="D7" location="'03-4100 Precast Conc'!A1" display="Link" xr:uid="{3C82A11C-CF49-42AD-94B6-BFE62A0E6B59}"/>
    <hyperlink ref="D8" location="'03-5413 Gypcrete'!A1" display="Link" xr:uid="{F31C341B-F713-4CB2-BA9C-FA2CD86BCD91}"/>
    <hyperlink ref="D9" location="'04-0000 Masonry'!A1" display="Link" xr:uid="{97B3BBFB-4A41-42CD-835E-18C3F626774F}"/>
    <hyperlink ref="D10" location="'05-1200 Structural Steel'!A1" display="Link" xr:uid="{D7C61001-7A9A-445B-BF1F-1236BE89EF93}"/>
    <hyperlink ref="D11" location="'05-7210 Alum Decks'!A1" display="Link" xr:uid="{FB81D2D3-7143-4936-A7F3-57A36B32C86D}"/>
    <hyperlink ref="D12" location="'06-1000 Rough Carp'!A1" display="Link" xr:uid="{E072C44B-E867-47E0-AF02-1E422B104D9B}"/>
    <hyperlink ref="D13" location="'06-2000 Finish Carp'!A1" display="Link" xr:uid="{673383D7-236A-4E7E-B6D8-9867D2714C3B}"/>
    <hyperlink ref="D14" location="'06-2200 Millwork'!A1" display="Link" xr:uid="{649CE56B-8A23-4B18-A0DE-2C4048FF1962}"/>
    <hyperlink ref="D15" location="'06-4100 Arch Casework'!A1" display="Link" xr:uid="{D55D888E-01F9-415A-840E-91DF82B36A32}"/>
    <hyperlink ref="D16" location="'06-6116 Solid Surfaces'!A1" display="Link" xr:uid="{7C6918C6-465F-4017-B330-21490C905934}"/>
    <hyperlink ref="D17" location="'06-8700 Pergolas'!A1" display="Link" xr:uid="{DD0DFE28-40B6-47B8-98B1-37C1A01ACB57}"/>
    <hyperlink ref="D18" location="'07-1000 Waterproofing'!A1" display="Link" xr:uid="{AE927E6B-16B5-4BF4-AA6B-35C85F1D987D}"/>
    <hyperlink ref="D37" location="'09-3000 Tile'!A1" display="Link" xr:uid="{E9A558F4-1045-4A1C-8742-066C82375A9A}"/>
    <hyperlink ref="D38" location="'09-5113 Acoustical Tile Ceiling'!A1" display="Link" xr:uid="{5A92857D-F1BA-46A9-929B-44C9A129DFE7}"/>
    <hyperlink ref="D24" location="'07-5000 Membrane Roofing'!A1" display="Link" xr:uid="{F280B8EE-665C-40BA-9B54-EF20F1C7896F}"/>
    <hyperlink ref="D35" location="'09-2116 Gypsum Board Assemblies'!A1" display="Link" xr:uid="{E91E8704-51B3-4BE4-9650-D8CFF808274F}"/>
    <hyperlink ref="D29" location="'08-1000 Doors, Frames, HW'!A1" display="Link" xr:uid="{EE2EB1C8-1900-43B0-B2A0-AC34A20887F4}"/>
    <hyperlink ref="D43" location="'09-9000 Painting and Coatings'!A1" display="Link" xr:uid="{4EEF3AB4-DFE4-4F2C-8F6A-AFF2D6DB22AC}"/>
    <hyperlink ref="D47" location="'10-2800 Toilet Accessories'!A1" display="Link" xr:uid="{8049C813-8C44-4612-AC95-FB88CEB59B60}"/>
    <hyperlink ref="D19" location="'07-2100 Insulation'!A1" display="Link" xr:uid="{6B8A08FC-A346-4A5C-A016-58340F61BB89}"/>
    <hyperlink ref="D20" location="'07-2500 Weather Barrier'!A1" display="Link" xr:uid="{D55EA407-881A-4C37-A6A6-0B2CFD133F40}"/>
    <hyperlink ref="D36" location="'09-2216 Steel Studs'!A1" display="Link" xr:uid="{F82DB3C9-5F3B-41DE-9916-52B47BB50D6B}"/>
    <hyperlink ref="D42" location="'09-6800 Carpeting'!A1" display="Link" xr:uid="{483A52FA-A4DB-476E-AB8E-9C623E46066E}"/>
    <hyperlink ref="D86" location="'33-0000 Utilities'!A1" display="Link" xr:uid="{C3A69F57-5069-4516-97AE-6E0B9DE6C5C9}"/>
    <hyperlink ref="D85" location="'32-9000 Landscaping &amp; Irr'!A1" display="Link" xr:uid="{ADD8D5F0-29E3-41D3-A453-F1F94B56237E}"/>
    <hyperlink ref="D84" location="'32-3200 Retaining Wall'!A1" display="Link" xr:uid="{6E2F7D25-DBF6-4A76-B69A-98704603593C}"/>
    <hyperlink ref="D69" location="'21-0000 Fire Suppression'!A1" display="Link" xr:uid="{004399D0-7FAC-4980-82C1-B433247256E0}"/>
    <hyperlink ref="D70" location="'22-0000 Plumbing'!A1" display="Link" xr:uid="{F483D407-20D3-4532-91DF-8DAAE5ADCBA2}"/>
    <hyperlink ref="D71" location="'23-0000 HVAC'!A1" display="Link" xr:uid="{7B4EE6F9-A550-455A-B13E-174609B6E53E}"/>
    <hyperlink ref="D72" location="'26-0000 Electrical'!A1" display="Link" xr:uid="{39B3EC9F-2822-4316-A0B3-39F201A344F3}"/>
    <hyperlink ref="D73" location="'27-2000 Data Communication'!A1" display="Link" xr:uid="{EC188839-11F6-4AA0-80D9-64EC0F8E4FD7}"/>
    <hyperlink ref="D74" location="'27-4000 AV'!A1" display="Link" xr:uid="{AB7E53AD-3E40-41B4-B9D8-9466455035C6}"/>
    <hyperlink ref="D44" location="'10-0000 Specialties'!A1" display="Link" xr:uid="{FC62D397-C46A-4383-840F-D63B5D8E2B95}"/>
    <hyperlink ref="D39" location="'09-6400 Wood Flooring'!A1" display="Link" xr:uid="{7804FAE2-624F-4958-9815-A7E3B586E9FD}"/>
    <hyperlink ref="D40" location="'09-6500 Resilient Flooring'!A1" display="Link" xr:uid="{68654F37-9D56-43C2-9703-2BB0A4446667}"/>
    <hyperlink ref="D41" location="'09-6600 Terrazzo Flooring'!A1" display="Link" xr:uid="{53BFD983-7420-4A7D-8598-B7E79C3F8C25}"/>
    <hyperlink ref="D45" location="'10-1400 Signage'!A1" display="Link" xr:uid="{4C03E9EA-1E5A-4A8A-9964-9DBB3BAF0503}"/>
    <hyperlink ref="D21" location="'07-3113 Asphalt Shingles'!A1" display="Link" xr:uid="{7ACB0AA2-7181-41DE-B2E6-F9AD776DD70B}"/>
    <hyperlink ref="D22" location="'07-4213 Metal Panel Siding'!A1" display="Link" xr:uid="{FFD78490-D028-4195-B952-EC043C095816}"/>
    <hyperlink ref="D23" location="'07-4600 Siding'!A1" display="Link" xr:uid="{B1DAAF47-96B6-43C6-9A40-D28D65C508D1}"/>
    <hyperlink ref="D25" location="'07-7600 Roof Pavers'!A1" display="Link" xr:uid="{1251A158-2F70-4262-8C4B-217E2EECC3F9}"/>
    <hyperlink ref="D26" location="'07-6200 Metal Flashing'!A1" display="Link" xr:uid="{EC2E8D4F-118B-4C69-8196-908B4847C1FD}"/>
    <hyperlink ref="D27" location="'07-8100 Fire Proofing'!A1" display="Link" xr:uid="{0AE29754-AA79-49A4-A638-34E8558AFD49}"/>
    <hyperlink ref="D28" location="'07-9200 Joint Sealants'!A1" display="Link" xr:uid="{9AC5396F-1944-4E81-87A2-134EE483ABC5}"/>
    <hyperlink ref="D30" location="'08-3113 Access Panels'!A1" display="Link" xr:uid="{0E992F5C-17A3-4211-B3CB-135973098858}"/>
    <hyperlink ref="D31" location="'08-3613 Overhead Doors'!A1" display="Link" xr:uid="{F21765B1-B7DA-48EE-86EC-6268DC13DDC9}"/>
    <hyperlink ref="D32" location="'08-4000 Alum Entr &amp; Storefronts'!A1" display="Link" xr:uid="{4AB15796-411C-43E5-A801-0B16E897617D}"/>
    <hyperlink ref="D33" location="'08-5413 Windows &amp; Patio Doors'!A1" display="Link" xr:uid="{099AE156-704E-4FF2-AD06-4462025E6B2A}"/>
    <hyperlink ref="D34" location="'08-8330 Mirrors'!A1" display="Link" xr:uid="{A134A669-C16D-4990-9504-D5017DE0A13D}"/>
    <hyperlink ref="D46" location="'10-2213 Wire Mesh Stor Cag'!A1" display="Link" xr:uid="{23D3A8CB-1A60-4F83-9802-E03269D3EBBF}"/>
    <hyperlink ref="D3" location="'02-4100 Demolition'!A1" display="Link" xr:uid="{B9F73045-3291-470F-B489-536F7C150888}"/>
    <hyperlink ref="D48" location="'10-2819 Tub &amp; Shower Doors'!A1" display="Link" xr:uid="{3A8863B0-D3D6-4862-B2F6-EF129540C548}"/>
    <hyperlink ref="D49" location="'10-3100 Fireplaces'!A1" display="Link" xr:uid="{954C7705-A511-4812-9EE6-EEACE7A7EC40}"/>
    <hyperlink ref="D50" location="'10-3110 Fire Pits'!A1" display="Link" xr:uid="{39850081-C9C8-4F5D-90E0-D0CBACBBF1E2}"/>
    <hyperlink ref="D51" location="'10-5500 Postal Specialties'!A1" display="Link" xr:uid="{CB93FEB2-587D-47C9-8D45-459E3096CE66}"/>
    <hyperlink ref="D52" location="'10-5623 Closet Shelving'!A1" display="Link" xr:uid="{FD129F9C-841C-4B78-935D-6BF85C9F6F40}"/>
    <hyperlink ref="D53" location="'10-7313 Awnings &amp; Canopies'!A1" display="Link" xr:uid="{3B374F96-F2A4-4453-91A5-FBBFA49CCF15}"/>
    <hyperlink ref="D54" location="'10-9000 Golf Simulator'!A1" display="Link" xr:uid="{6D8C119B-2D74-4695-B357-E8BEDB751D3C}"/>
    <hyperlink ref="D55" location="'11-2423 Window Washing Systems'!A1" display="Link" xr:uid="{1A5CA0D8-E769-418E-978F-DCF98DB785AC}"/>
    <hyperlink ref="D56" location="'11-3100 Appliances'!A1" display="Link" xr:uid="{F6A5549D-9499-4FF0-B709-975C9D4D969D}"/>
    <hyperlink ref="D57" location="'11-6700 Recreational Equip'!A1" display="Link" xr:uid="{CD268536-B960-41A8-8A32-73CCB80BE9A0}"/>
    <hyperlink ref="D58" location="'11-8216 Trash Compactors'!A1" display="Link" xr:uid="{5758F74A-031F-44B9-B8C6-694BC53B7DA6}"/>
    <hyperlink ref="D59" location="'12-2000 Window Treatments'!A1" display="Link" xr:uid="{B8148247-6AE4-4E05-859B-5F02A20A906B}"/>
    <hyperlink ref="D60" location="'12-3530 Residential Casework'!A1" display="Link" xr:uid="{0CD54104-1FDB-4615-828E-DDD75D8E797B}"/>
    <hyperlink ref="D61" location="'12-3640 Residential Countertops'!A1" display="Link" xr:uid="{B7F39FEF-9E32-4378-B4F8-57A6D439C40A}"/>
    <hyperlink ref="D62" location="'12-4813 Entrance Floor Mats'!A1" display="Link" xr:uid="{CDDAFC29-230D-4294-9B08-D7DAE5CE46C3}"/>
    <hyperlink ref="D63" location="'12-9313 Bike Racks'!A1" display="Link" xr:uid="{38D215E9-A027-48C5-BA50-239598A1F801}"/>
    <hyperlink ref="D64" location="'13-1100 Swimming Pools &amp; Spas'!A1" display="Link" xr:uid="{F301AC81-CFE6-45E5-9C4F-E2A97546DCC4}"/>
    <hyperlink ref="D78" location="'31-0000 Earthwork'!A1" display="Link" xr:uid="{CE6BD8D7-D640-4F6D-BEB0-07360BF69D3B}"/>
    <hyperlink ref="D65" location="'13-1900 Pet Equipment'!A1" display="Link" xr:uid="{06D09D6C-F6A9-475C-A889-DC2FCC2C3D13}"/>
    <hyperlink ref="D66" location="'13-2416 Saunas'!A1" display="Link" xr:uid="{FA62B079-B499-4799-9D3B-1DD94CEAE3DE}"/>
    <hyperlink ref="D67" location="'14-2000 Elevators'!A1" display="Link" xr:uid="{5C2B85D8-FCD0-459A-AA71-69FF8975BCE0}"/>
    <hyperlink ref="D68" location="'14-9182 Trash Chute'!A1" display="Link" xr:uid="{714A689F-2FE0-4686-8C60-25CDA5EB0B35}"/>
    <hyperlink ref="D75" location="'28-1300 Access Control'!A1" display="Link" xr:uid="{10944108-F6F5-4EDC-8504-7DCDF2254E0B}"/>
    <hyperlink ref="D76" location="'28-2300 Video Surveillanc'!A1" display="Link" xr:uid="{3E904628-0987-45DD-B923-BC6B1299D436}"/>
    <hyperlink ref="D77" location="'28-3100 Fire Detection &amp; Alarm'!A1" display="Link" xr:uid="{77399C5C-9745-4958-957C-75B7E3B83CE0}"/>
    <hyperlink ref="D79" location="'32-1216 Asphalt Paving'!A1" display="Link" xr:uid="{5BEB000E-9A9C-4B0B-BDA5-EF0852913DAC}"/>
    <hyperlink ref="D80" location="'32-1313 Site Concrete'!A1" display="Link" xr:uid="{9DA84E67-9F4D-428E-99C2-B8A8AD8B94AE}"/>
    <hyperlink ref="D81" location="'32-1400 Unit Pavers'!A1" display="Link" xr:uid="{9AA9AF93-E155-4053-B15F-3FFADE543965}"/>
    <hyperlink ref="D82" location="'32-1813 Artificial Turf'!A1" display="Link" xr:uid="{8C6660F4-F903-422B-81E7-107327DA6BCE}"/>
    <hyperlink ref="D83" location="'32-3100 Fences &amp; Gates'!A1" display="Link" xr:uid="{0220E335-50ED-431D-9503-9A24D453C9E5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8124B-875C-4ADA-A15C-20438DFB2D3F}">
  <sheetPr>
    <pageSetUpPr autoPageBreaks="0" fitToPage="1"/>
  </sheetPr>
  <dimension ref="B1:W41"/>
  <sheetViews>
    <sheetView showGridLines="0" zoomScale="80" zoomScaleNormal="80" zoomScaleSheetLayoutView="85" workbookViewId="0">
      <selection activeCell="G25" sqref="G25:I25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H2" s="89" t="s">
        <v>118</v>
      </c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H3" s="90" cm="1">
        <f t="array" ref="H3">IF(MIN(IF(M34:W34&gt;0, M34:W34, ""))="", "", INDEX(L3:V3, MATCH(MIN(IF(M34:W34&gt;0, M34:W34, "")), IF(MOD(COLUMN(M34:W34)-COLUMN(M34)+1, 2)=1, M34:W34, ""), 0)))</f>
        <v>0</v>
      </c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customHeight="1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customHeight="1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91"/>
      <c r="C9" s="91" t="s">
        <v>135</v>
      </c>
      <c r="D9" s="91" cm="1">
        <f t="array" ref="D9">MIN(IF(M35:W35&gt;0, M35:W35))</f>
        <v>0</v>
      </c>
      <c r="E9" s="52">
        <f>SUM(B9:D9)</f>
        <v>0</v>
      </c>
      <c r="F9" s="38" t="s">
        <v>136</v>
      </c>
      <c r="G9" s="114" t="s">
        <v>137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91"/>
      <c r="C10" s="91"/>
      <c r="D10" s="91"/>
      <c r="E10" s="52">
        <f>SUM(B10:D10)</f>
        <v>0</v>
      </c>
      <c r="F10" s="38"/>
      <c r="G10" s="152"/>
      <c r="H10" s="153"/>
      <c r="I10" s="154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91"/>
      <c r="C11" s="91"/>
      <c r="D11" s="91"/>
      <c r="E11" s="52">
        <f>SUM(B11:D11)</f>
        <v>0</v>
      </c>
      <c r="F11" s="38"/>
      <c r="G11" s="152"/>
      <c r="H11" s="153"/>
      <c r="I11" s="154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91"/>
      <c r="C12" s="91"/>
      <c r="D12" s="91"/>
      <c r="E12" s="52">
        <f t="shared" ref="E12:E31" si="5">SUM(B12:D12)</f>
        <v>0</v>
      </c>
      <c r="F12" s="38"/>
      <c r="G12" s="152"/>
      <c r="H12" s="153"/>
      <c r="I12" s="154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91"/>
      <c r="C13" s="91"/>
      <c r="D13" s="91"/>
      <c r="E13" s="52">
        <f t="shared" si="5"/>
        <v>0</v>
      </c>
      <c r="F13" s="38"/>
      <c r="G13" s="152"/>
      <c r="H13" s="153"/>
      <c r="I13" s="154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91"/>
      <c r="C14" s="91"/>
      <c r="D14" s="91"/>
      <c r="E14" s="52">
        <f t="shared" si="5"/>
        <v>0</v>
      </c>
      <c r="F14" s="38"/>
      <c r="G14" s="152"/>
      <c r="H14" s="153"/>
      <c r="I14" s="154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91"/>
      <c r="C15" s="91"/>
      <c r="D15" s="91"/>
      <c r="E15" s="52">
        <f t="shared" si="5"/>
        <v>0</v>
      </c>
      <c r="F15" s="38"/>
      <c r="G15" s="152"/>
      <c r="H15" s="153"/>
      <c r="I15" s="154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91"/>
      <c r="C16" s="91"/>
      <c r="D16" s="91"/>
      <c r="E16" s="52">
        <f t="shared" si="5"/>
        <v>0</v>
      </c>
      <c r="F16" s="38"/>
      <c r="G16" s="152"/>
      <c r="H16" s="153"/>
      <c r="I16" s="154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91"/>
      <c r="C17" s="91"/>
      <c r="D17" s="91"/>
      <c r="E17" s="52">
        <f t="shared" si="5"/>
        <v>0</v>
      </c>
      <c r="F17" s="38"/>
      <c r="G17" s="152"/>
      <c r="H17" s="153"/>
      <c r="I17" s="154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91"/>
      <c r="C18" s="91"/>
      <c r="D18" s="91"/>
      <c r="E18" s="52">
        <f t="shared" si="5"/>
        <v>0</v>
      </c>
      <c r="F18" s="38"/>
      <c r="G18" s="152"/>
      <c r="H18" s="153"/>
      <c r="I18" s="154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91"/>
      <c r="C19" s="91"/>
      <c r="D19" s="91"/>
      <c r="E19" s="52">
        <f t="shared" si="5"/>
        <v>0</v>
      </c>
      <c r="F19" s="38"/>
      <c r="G19" s="152"/>
      <c r="H19" s="153"/>
      <c r="I19" s="154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91"/>
      <c r="C20" s="91"/>
      <c r="D20" s="91"/>
      <c r="E20" s="52">
        <f t="shared" si="5"/>
        <v>0</v>
      </c>
      <c r="F20" s="38"/>
      <c r="G20" s="152"/>
      <c r="H20" s="153"/>
      <c r="I20" s="154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91"/>
      <c r="C21" s="91"/>
      <c r="D21" s="91"/>
      <c r="E21" s="52">
        <f t="shared" si="5"/>
        <v>0</v>
      </c>
      <c r="F21" s="38"/>
      <c r="G21" s="152"/>
      <c r="H21" s="153"/>
      <c r="I21" s="154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91"/>
      <c r="C22" s="91"/>
      <c r="D22" s="91"/>
      <c r="E22" s="52">
        <f t="shared" si="5"/>
        <v>0</v>
      </c>
      <c r="F22" s="38"/>
      <c r="G22" s="152"/>
      <c r="H22" s="153"/>
      <c r="I22" s="154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91"/>
      <c r="C23" s="91"/>
      <c r="D23" s="91"/>
      <c r="E23" s="52">
        <f t="shared" si="5"/>
        <v>0</v>
      </c>
      <c r="F23" s="38"/>
      <c r="G23" s="152"/>
      <c r="H23" s="153"/>
      <c r="I23" s="154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91"/>
      <c r="C24" s="91"/>
      <c r="D24" s="91"/>
      <c r="E24" s="52">
        <f t="shared" si="5"/>
        <v>0</v>
      </c>
      <c r="F24" s="38"/>
      <c r="G24" s="152"/>
      <c r="H24" s="153"/>
      <c r="I24" s="154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91"/>
      <c r="C25" s="91"/>
      <c r="D25" s="91"/>
      <c r="E25" s="52">
        <f t="shared" si="5"/>
        <v>0</v>
      </c>
      <c r="F25" s="38"/>
      <c r="G25" s="152"/>
      <c r="H25" s="153"/>
      <c r="I25" s="154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91"/>
      <c r="C26" s="91"/>
      <c r="D26" s="91"/>
      <c r="E26" s="52">
        <f t="shared" si="5"/>
        <v>0</v>
      </c>
      <c r="F26" s="38"/>
      <c r="G26" s="152"/>
      <c r="H26" s="153"/>
      <c r="I26" s="154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91"/>
      <c r="C27" s="91"/>
      <c r="D27" s="91"/>
      <c r="E27" s="52">
        <f t="shared" si="5"/>
        <v>0</v>
      </c>
      <c r="F27" s="38"/>
      <c r="G27" s="152"/>
      <c r="H27" s="153"/>
      <c r="I27" s="154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91"/>
      <c r="C28" s="91"/>
      <c r="D28" s="91"/>
      <c r="E28" s="52">
        <f t="shared" si="5"/>
        <v>0</v>
      </c>
      <c r="F28" s="38"/>
      <c r="G28" s="152"/>
      <c r="H28" s="153"/>
      <c r="I28" s="154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91"/>
      <c r="C29" s="91"/>
      <c r="D29" s="91"/>
      <c r="E29" s="52">
        <f t="shared" si="5"/>
        <v>0</v>
      </c>
      <c r="F29" s="38"/>
      <c r="G29" s="152"/>
      <c r="H29" s="153"/>
      <c r="I29" s="154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91"/>
      <c r="C30" s="91"/>
      <c r="D30" s="91"/>
      <c r="E30" s="52">
        <f t="shared" si="5"/>
        <v>0</v>
      </c>
      <c r="F30" s="38"/>
      <c r="G30" s="152"/>
      <c r="H30" s="153"/>
      <c r="I30" s="154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92"/>
      <c r="C31" s="92"/>
      <c r="D31" s="92"/>
      <c r="E31" s="52">
        <f t="shared" si="5"/>
        <v>0</v>
      </c>
      <c r="F31" s="61"/>
      <c r="G31" s="155"/>
      <c r="H31" s="156"/>
      <c r="I31" s="157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R6:S6"/>
    <mergeCell ref="T6:U6"/>
    <mergeCell ref="V6:W6"/>
    <mergeCell ref="R2:S2"/>
    <mergeCell ref="T2:U2"/>
    <mergeCell ref="V2:W2"/>
    <mergeCell ref="T3:U3"/>
    <mergeCell ref="V3:W3"/>
    <mergeCell ref="P3:Q3"/>
    <mergeCell ref="R3:S3"/>
    <mergeCell ref="B2:C2"/>
    <mergeCell ref="D2:F2"/>
    <mergeCell ref="J2:K2"/>
    <mergeCell ref="L2:M2"/>
    <mergeCell ref="N2:O2"/>
    <mergeCell ref="P2:Q2"/>
    <mergeCell ref="B3:C3"/>
    <mergeCell ref="D3:F3"/>
    <mergeCell ref="J3:K3"/>
    <mergeCell ref="L3:M3"/>
    <mergeCell ref="N3:O3"/>
    <mergeCell ref="B4:C4"/>
    <mergeCell ref="D4:F4"/>
    <mergeCell ref="J4:K4"/>
    <mergeCell ref="L4:M4"/>
    <mergeCell ref="N4:O4"/>
    <mergeCell ref="P4:Q4"/>
    <mergeCell ref="R4:S4"/>
    <mergeCell ref="T4:U4"/>
    <mergeCell ref="V4:W4"/>
    <mergeCell ref="T5:U5"/>
    <mergeCell ref="V5:W5"/>
    <mergeCell ref="B7:D7"/>
    <mergeCell ref="J7:K7"/>
    <mergeCell ref="L7:M7"/>
    <mergeCell ref="N7:O7"/>
    <mergeCell ref="P7:Q7"/>
    <mergeCell ref="J5:K5"/>
    <mergeCell ref="L5:M5"/>
    <mergeCell ref="N5:O5"/>
    <mergeCell ref="P5:Q5"/>
    <mergeCell ref="R5:S5"/>
    <mergeCell ref="J6:K6"/>
    <mergeCell ref="L6:M6"/>
    <mergeCell ref="N6:O6"/>
    <mergeCell ref="P6:Q6"/>
    <mergeCell ref="G17:I17"/>
    <mergeCell ref="G11:I11"/>
    <mergeCell ref="G12:I12"/>
    <mergeCell ref="G13:I13"/>
    <mergeCell ref="G14:I14"/>
    <mergeCell ref="G15:I15"/>
    <mergeCell ref="G16:I16"/>
    <mergeCell ref="T7:U7"/>
    <mergeCell ref="V7:W7"/>
    <mergeCell ref="G8:I8"/>
    <mergeCell ref="G9:I9"/>
    <mergeCell ref="G10:I10"/>
    <mergeCell ref="R7:S7"/>
    <mergeCell ref="G29:I29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36:I36"/>
    <mergeCell ref="G37:I37"/>
    <mergeCell ref="G30:I30"/>
    <mergeCell ref="G31:I31"/>
    <mergeCell ref="G32:I32"/>
    <mergeCell ref="G33:I33"/>
    <mergeCell ref="G34:I34"/>
    <mergeCell ref="G35:I35"/>
  </mergeCells>
  <conditionalFormatting sqref="M36:M37 O36:O37 Q36:Q37 S36:S37 U36:U37 W36:W37">
    <cfRule type="cellIs" dxfId="173" priority="1" operator="lessThan">
      <formula>0</formula>
    </cfRule>
    <cfRule type="cellIs" dxfId="172" priority="2" operator="greaterThan">
      <formula>0</formula>
    </cfRule>
  </conditionalFormatting>
  <hyperlinks>
    <hyperlink ref="B1" location="INDEX!A1" display="INDEX" xr:uid="{A386ACC2-B7A6-429E-9B08-98E5B73D7BA6}"/>
  </hyperlinks>
  <pageMargins left="0.45" right="0.45" top="0.5" bottom="0.5" header="0.05" footer="0.05"/>
  <pageSetup scale="4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3D0D-8C05-48F5-B1C1-5ECE06245844}">
  <sheetPr>
    <pageSetUpPr autoPageBreaks="0" fitToPage="1"/>
  </sheetPr>
  <dimension ref="B1:W41"/>
  <sheetViews>
    <sheetView showGridLines="0" zoomScale="80" zoomScaleNormal="80" zoomScaleSheetLayoutView="85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customHeight="1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customHeight="1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145</v>
      </c>
      <c r="G9" s="114" t="s">
        <v>146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147</v>
      </c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R2:S2"/>
    <mergeCell ref="T2:U2"/>
    <mergeCell ref="V2:W2"/>
    <mergeCell ref="B3:C3"/>
    <mergeCell ref="D3:F3"/>
    <mergeCell ref="J3:K3"/>
    <mergeCell ref="L3:M3"/>
    <mergeCell ref="N3:O3"/>
    <mergeCell ref="P3:Q3"/>
    <mergeCell ref="R3:S3"/>
    <mergeCell ref="B2:C2"/>
    <mergeCell ref="D2:F2"/>
    <mergeCell ref="J2:K2"/>
    <mergeCell ref="L2:M2"/>
    <mergeCell ref="N2:O2"/>
    <mergeCell ref="P2:Q2"/>
    <mergeCell ref="T3:U3"/>
    <mergeCell ref="V3:W3"/>
    <mergeCell ref="B4:C4"/>
    <mergeCell ref="D4:F4"/>
    <mergeCell ref="J4:K4"/>
    <mergeCell ref="L4:M4"/>
    <mergeCell ref="N4:O4"/>
    <mergeCell ref="P4:Q4"/>
    <mergeCell ref="R4:S4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G13:I13"/>
    <mergeCell ref="V6:W6"/>
    <mergeCell ref="B7:D7"/>
    <mergeCell ref="J7:K7"/>
    <mergeCell ref="L7:M7"/>
    <mergeCell ref="N7:O7"/>
    <mergeCell ref="P7:Q7"/>
    <mergeCell ref="R7:S7"/>
    <mergeCell ref="T7:U7"/>
    <mergeCell ref="V7:W7"/>
    <mergeCell ref="J6:K6"/>
    <mergeCell ref="L6:M6"/>
    <mergeCell ref="N6:O6"/>
    <mergeCell ref="P6:Q6"/>
    <mergeCell ref="R6:S6"/>
    <mergeCell ref="T6:U6"/>
    <mergeCell ref="G8:I8"/>
    <mergeCell ref="G9:I9"/>
    <mergeCell ref="G10:I10"/>
    <mergeCell ref="G11:I11"/>
    <mergeCell ref="G12:I12"/>
    <mergeCell ref="G25:I25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37:I37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</mergeCells>
  <conditionalFormatting sqref="M36:M37 O36:O37 Q36:Q37 S36:S37 U36:U37 W36:W37">
    <cfRule type="cellIs" dxfId="171" priority="1" operator="lessThan">
      <formula>0</formula>
    </cfRule>
    <cfRule type="cellIs" dxfId="170" priority="2" operator="greaterThan">
      <formula>0</formula>
    </cfRule>
  </conditionalFormatting>
  <hyperlinks>
    <hyperlink ref="B1" location="INDEX!A1" display="INDEX" xr:uid="{A120CDD6-F727-4303-993E-992FC060B84A}"/>
  </hyperlinks>
  <pageMargins left="0.45" right="0.45" top="0.5" bottom="0.5" header="0.3" footer="0.3"/>
  <pageSetup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D341-29FA-4225-8F5A-6A0F6AC4B1E2}">
  <sheetPr>
    <pageSetUpPr autoPageBreaks="0" fitToPage="1"/>
  </sheetPr>
  <dimension ref="B1:W41"/>
  <sheetViews>
    <sheetView showGridLines="0" zoomScale="80" zoomScaleNormal="80" zoomScaleSheetLayoutView="85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58" t="s">
        <v>131</v>
      </c>
      <c r="H8" s="159"/>
      <c r="I8" s="160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148</v>
      </c>
      <c r="G9" s="114" t="s">
        <v>149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150</v>
      </c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61" t="s">
        <v>151</v>
      </c>
      <c r="H12" s="162"/>
      <c r="I12" s="163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61" t="s">
        <v>149</v>
      </c>
      <c r="H13" s="162"/>
      <c r="I13" s="163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61" t="s">
        <v>152</v>
      </c>
      <c r="H14" s="162"/>
      <c r="I14" s="163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 t="s">
        <v>153</v>
      </c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 t="s">
        <v>154</v>
      </c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V6:W6"/>
    <mergeCell ref="L6:M6"/>
    <mergeCell ref="N6:O6"/>
    <mergeCell ref="P6:Q6"/>
    <mergeCell ref="R6:S6"/>
    <mergeCell ref="T6:U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G18:I18"/>
    <mergeCell ref="V7:W7"/>
    <mergeCell ref="G8:I8"/>
    <mergeCell ref="G9:I9"/>
    <mergeCell ref="G10:I10"/>
    <mergeCell ref="G11:I11"/>
    <mergeCell ref="G12:I12"/>
    <mergeCell ref="J7:K7"/>
    <mergeCell ref="L7:M7"/>
    <mergeCell ref="N7:O7"/>
    <mergeCell ref="P7:Q7"/>
    <mergeCell ref="R7:S7"/>
    <mergeCell ref="T7:U7"/>
    <mergeCell ref="G13:I13"/>
    <mergeCell ref="G14:I14"/>
    <mergeCell ref="G15:I15"/>
    <mergeCell ref="G37:I37"/>
    <mergeCell ref="B7:D7"/>
    <mergeCell ref="D2:F2"/>
    <mergeCell ref="D3:F3"/>
    <mergeCell ref="D4:F4"/>
    <mergeCell ref="B2:C2"/>
    <mergeCell ref="B3:C3"/>
    <mergeCell ref="B4:C4"/>
    <mergeCell ref="G31:I31"/>
    <mergeCell ref="G25:I25"/>
    <mergeCell ref="G26:I26"/>
    <mergeCell ref="G27:I27"/>
    <mergeCell ref="G28:I28"/>
    <mergeCell ref="G29:I29"/>
    <mergeCell ref="G16:I16"/>
    <mergeCell ref="G17:I17"/>
    <mergeCell ref="G35:I35"/>
    <mergeCell ref="G36:I36"/>
    <mergeCell ref="G30:I30"/>
    <mergeCell ref="G19:I19"/>
    <mergeCell ref="G32:I32"/>
    <mergeCell ref="G33:I33"/>
    <mergeCell ref="G34:I34"/>
    <mergeCell ref="G23:I23"/>
    <mergeCell ref="G24:I24"/>
    <mergeCell ref="G20:I20"/>
    <mergeCell ref="G21:I21"/>
    <mergeCell ref="G22:I22"/>
  </mergeCells>
  <conditionalFormatting sqref="M36:M37 O36:O37 Q36:Q37 S36:S37 U36:U37 W36:W37">
    <cfRule type="cellIs" dxfId="169" priority="1" operator="lessThan">
      <formula>0</formula>
    </cfRule>
    <cfRule type="cellIs" dxfId="168" priority="2" operator="greaterThan">
      <formula>0</formula>
    </cfRule>
  </conditionalFormatting>
  <hyperlinks>
    <hyperlink ref="B1" location="INDEX!A1" display="INDEX" xr:uid="{22523FB9-1EA8-4E05-A451-D23C8FD3CB82}"/>
  </hyperlinks>
  <pageMargins left="0.45" right="0.45" top="0.5" bottom="0.5" header="0.3" footer="0.3"/>
  <pageSetup scale="4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7692-9D63-44CA-B18F-F074C895A109}">
  <sheetPr>
    <pageSetUpPr autoPageBreaks="0" fitToPage="1"/>
  </sheetPr>
  <dimension ref="B1:W41"/>
  <sheetViews>
    <sheetView showGridLines="0" zoomScale="80" zoomScaleNormal="80" zoomScaleSheetLayoutView="85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155</v>
      </c>
      <c r="G9" s="114" t="s">
        <v>156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157</v>
      </c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158</v>
      </c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159</v>
      </c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 t="s">
        <v>160</v>
      </c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 t="s">
        <v>161</v>
      </c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 t="s">
        <v>162</v>
      </c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67" priority="1" operator="lessThan">
      <formula>0</formula>
    </cfRule>
    <cfRule type="cellIs" dxfId="166" priority="2" operator="greaterThan">
      <formula>0</formula>
    </cfRule>
  </conditionalFormatting>
  <hyperlinks>
    <hyperlink ref="B1" location="INDEX!A1" display="INDEX" xr:uid="{F75CBFBE-0AB0-4610-8DE9-C73C3055B7DA}"/>
  </hyperlinks>
  <pageMargins left="0.45" right="0.45" top="0.5" bottom="0.5" header="0.3" footer="0.3"/>
  <pageSetup scale="4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2375-C97D-4DE2-9139-A585AAC06C8A}">
  <sheetPr>
    <pageSetUpPr autoPageBreaks="0" fitToPage="1"/>
  </sheetPr>
  <dimension ref="B1:W41"/>
  <sheetViews>
    <sheetView showGridLines="0" zoomScale="80" zoomScaleNormal="80" zoomScaleSheetLayoutView="85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64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163</v>
      </c>
      <c r="G9" s="114" t="s">
        <v>164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165</v>
      </c>
      <c r="H11" s="97" t="s">
        <v>165</v>
      </c>
      <c r="I11" s="98" t="s">
        <v>165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166</v>
      </c>
      <c r="H12" s="97" t="s">
        <v>166</v>
      </c>
      <c r="I12" s="98" t="s">
        <v>166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167</v>
      </c>
      <c r="H13" s="97" t="s">
        <v>167</v>
      </c>
      <c r="I13" s="98" t="s">
        <v>167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 t="s">
        <v>168</v>
      </c>
      <c r="H14" s="97" t="s">
        <v>168</v>
      </c>
      <c r="I14" s="98" t="s">
        <v>168</v>
      </c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 t="s">
        <v>169</v>
      </c>
      <c r="H15" s="97" t="s">
        <v>169</v>
      </c>
      <c r="I15" s="98" t="s">
        <v>169</v>
      </c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 t="s">
        <v>170</v>
      </c>
      <c r="H16" s="97" t="s">
        <v>170</v>
      </c>
      <c r="I16" s="98" t="s">
        <v>170</v>
      </c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 t="s">
        <v>171</v>
      </c>
      <c r="H17" s="97" t="s">
        <v>171</v>
      </c>
      <c r="I17" s="98" t="s">
        <v>171</v>
      </c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 t="s">
        <v>172</v>
      </c>
      <c r="H18" s="97" t="s">
        <v>172</v>
      </c>
      <c r="I18" s="98" t="s">
        <v>172</v>
      </c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 t="s">
        <v>173</v>
      </c>
      <c r="H20" s="97" t="s">
        <v>173</v>
      </c>
      <c r="I20" s="98" t="s">
        <v>173</v>
      </c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65" priority="1" operator="lessThan">
      <formula>0</formula>
    </cfRule>
    <cfRule type="cellIs" dxfId="164" priority="2" operator="greaterThan">
      <formula>0</formula>
    </cfRule>
  </conditionalFormatting>
  <hyperlinks>
    <hyperlink ref="B1" location="INDEX!A1" display="INDEX" xr:uid="{30AA7FDC-ADB3-45DF-8C7B-7B0CD691856D}"/>
  </hyperlinks>
  <pageMargins left="0.45" right="0.45" top="0.5" bottom="0.5" header="0.3" footer="0.3"/>
  <pageSetup scale="4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C232-3BBB-435C-AD32-0EF436834680}">
  <sheetPr>
    <pageSetUpPr fitToPage="1"/>
  </sheetPr>
  <dimension ref="B1:W41"/>
  <sheetViews>
    <sheetView showGridLines="0" zoomScale="80" zoomScaleNormal="80" zoomScaleSheetLayoutView="85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174</v>
      </c>
      <c r="G9" s="114" t="s">
        <v>175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176</v>
      </c>
      <c r="H11" s="97" t="s">
        <v>176</v>
      </c>
      <c r="I11" s="98" t="s">
        <v>176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177</v>
      </c>
      <c r="H12" s="97" t="s">
        <v>177</v>
      </c>
      <c r="I12" s="98" t="s">
        <v>177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178</v>
      </c>
      <c r="H13" s="97" t="s">
        <v>178</v>
      </c>
      <c r="I13" s="98" t="s">
        <v>178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 t="s">
        <v>179</v>
      </c>
      <c r="H14" s="97" t="s">
        <v>179</v>
      </c>
      <c r="I14" s="98" t="s">
        <v>179</v>
      </c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 t="s">
        <v>180</v>
      </c>
      <c r="H15" s="97" t="s">
        <v>180</v>
      </c>
      <c r="I15" s="98" t="s">
        <v>180</v>
      </c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 t="s">
        <v>181</v>
      </c>
      <c r="H16" s="97" t="s">
        <v>181</v>
      </c>
      <c r="I16" s="98" t="s">
        <v>181</v>
      </c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 t="s">
        <v>182</v>
      </c>
      <c r="H18" s="97" t="s">
        <v>182</v>
      </c>
      <c r="I18" s="98" t="s">
        <v>182</v>
      </c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63" priority="1" operator="lessThan">
      <formula>0</formula>
    </cfRule>
    <cfRule type="cellIs" dxfId="162" priority="2" operator="greaterThan">
      <formula>0</formula>
    </cfRule>
  </conditionalFormatting>
  <hyperlinks>
    <hyperlink ref="B1" location="INDEX!A1" display="INDEX" xr:uid="{7AA210C1-4100-4F07-BB4C-7550D2BF8685}"/>
  </hyperlinks>
  <pageMargins left="0.45" right="0.45" top="0.5" bottom="0.5" header="0.3" footer="0.3"/>
  <pageSetup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D691-35B2-4C85-A260-348085970E64}">
  <sheetPr>
    <pageSetUpPr autoPageBreaks="0" fitToPage="1"/>
  </sheetPr>
  <dimension ref="B1:W41"/>
  <sheetViews>
    <sheetView showGridLines="0" zoomScale="80" zoomScaleNormal="80" zoomScaleSheetLayoutView="85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183</v>
      </c>
      <c r="G9" s="114" t="s">
        <v>184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 t="s">
        <v>185</v>
      </c>
      <c r="H10" s="97" t="s">
        <v>185</v>
      </c>
      <c r="I10" s="98" t="s">
        <v>185</v>
      </c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186</v>
      </c>
      <c r="H11" s="97" t="s">
        <v>186</v>
      </c>
      <c r="I11" s="98" t="s">
        <v>186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187</v>
      </c>
      <c r="H12" s="97" t="s">
        <v>187</v>
      </c>
      <c r="I12" s="98" t="s">
        <v>187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188</v>
      </c>
      <c r="H13" s="97" t="s">
        <v>188</v>
      </c>
      <c r="I13" s="98" t="s">
        <v>188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 t="s">
        <v>189</v>
      </c>
      <c r="H14" s="97" t="s">
        <v>189</v>
      </c>
      <c r="I14" s="98" t="s">
        <v>189</v>
      </c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 t="s">
        <v>190</v>
      </c>
      <c r="H15" s="97" t="s">
        <v>190</v>
      </c>
      <c r="I15" s="98" t="s">
        <v>190</v>
      </c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 t="s">
        <v>191</v>
      </c>
      <c r="H16" s="97" t="s">
        <v>191</v>
      </c>
      <c r="I16" s="98" t="s">
        <v>191</v>
      </c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 t="s">
        <v>182</v>
      </c>
      <c r="H18" s="97" t="s">
        <v>182</v>
      </c>
      <c r="I18" s="98" t="s">
        <v>182</v>
      </c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 t="s">
        <v>192</v>
      </c>
      <c r="H20" s="97" t="s">
        <v>192</v>
      </c>
      <c r="I20" s="98" t="s">
        <v>192</v>
      </c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61" priority="1" operator="lessThan">
      <formula>0</formula>
    </cfRule>
    <cfRule type="cellIs" dxfId="160" priority="2" operator="greaterThan">
      <formula>0</formula>
    </cfRule>
  </conditionalFormatting>
  <hyperlinks>
    <hyperlink ref="B1" location="INDEX!A1" display="INDEX" xr:uid="{417F3F9E-853A-4928-A6B1-B397099FD895}"/>
  </hyperlinks>
  <pageMargins left="0.45" right="0.45" top="0.5" bottom="0.5" header="0.3" footer="0.3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4A39-E6AF-4469-A978-9AFC44952B63}">
  <sheetPr>
    <pageSetUpPr autoPageBreaks="0" fitToPage="1"/>
  </sheetPr>
  <dimension ref="B1:W41"/>
  <sheetViews>
    <sheetView showGridLines="0" zoomScale="80" zoomScaleNormal="80" zoomScaleSheetLayoutView="85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193</v>
      </c>
      <c r="G9" s="114" t="s">
        <v>194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195</v>
      </c>
      <c r="H11" s="97" t="s">
        <v>195</v>
      </c>
      <c r="I11" s="98" t="s">
        <v>195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196</v>
      </c>
      <c r="H12" s="97" t="s">
        <v>196</v>
      </c>
      <c r="I12" s="98" t="s">
        <v>196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197</v>
      </c>
      <c r="H13" s="97" t="s">
        <v>197</v>
      </c>
      <c r="I13" s="98" t="s">
        <v>197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 t="s">
        <v>198</v>
      </c>
      <c r="H14" s="97" t="s">
        <v>198</v>
      </c>
      <c r="I14" s="98" t="s">
        <v>198</v>
      </c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 t="s">
        <v>199</v>
      </c>
      <c r="H16" s="97" t="s">
        <v>199</v>
      </c>
      <c r="I16" s="98" t="s">
        <v>199</v>
      </c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 t="s">
        <v>200</v>
      </c>
      <c r="H17" s="97" t="s">
        <v>200</v>
      </c>
      <c r="I17" s="98" t="s">
        <v>200</v>
      </c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 t="s">
        <v>201</v>
      </c>
      <c r="H19" s="97" t="s">
        <v>201</v>
      </c>
      <c r="I19" s="98" t="s">
        <v>201</v>
      </c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59" priority="1" operator="lessThan">
      <formula>0</formula>
    </cfRule>
    <cfRule type="cellIs" dxfId="158" priority="2" operator="greaterThan">
      <formula>0</formula>
    </cfRule>
  </conditionalFormatting>
  <hyperlinks>
    <hyperlink ref="B1" location="INDEX!A1" display="INDEX" xr:uid="{D29E7A39-F09B-46E1-92F6-96173B19704D}"/>
  </hyperlinks>
  <pageMargins left="0.45" right="0.45" top="0.5" bottom="0.5" header="0.3" footer="0.3"/>
  <pageSetup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8038-E689-46DE-88CA-AE0F14A07EAF}">
  <sheetPr>
    <pageSetUpPr autoPageBreaks="0" fitToPage="1"/>
  </sheetPr>
  <dimension ref="B1:W44"/>
  <sheetViews>
    <sheetView showGridLines="0" zoomScale="80" zoomScaleNormal="80" zoomScaleSheetLayoutView="85" workbookViewId="0">
      <selection activeCell="D5" sqref="D5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H2" s="89" t="s">
        <v>118</v>
      </c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H3" s="90" cm="1">
        <f t="array" ref="H3">IF(MIN(IF(M34:W34&gt;0, M34:W34, ""))="", "", INDEX(L3:V3, MATCH(MIN(IF(M34:W34&gt;0, M34:W34, "")), IF(MOD(COLUMN(M34:W34)-COLUMN(M34)+1, 2)=1, M34:W34, ""), 0)))</f>
        <v>0</v>
      </c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202</v>
      </c>
      <c r="G9" s="114" t="s">
        <v>203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4" si="1">P10*$J10</f>
        <v>0</v>
      </c>
      <c r="R10" s="71"/>
      <c r="S10" s="11">
        <f t="shared" ref="S10:S34" si="2">R10*$J10</f>
        <v>0</v>
      </c>
      <c r="T10" s="71"/>
      <c r="U10" s="11">
        <f t="shared" ref="U10:U34" si="3">T10*$J10</f>
        <v>0</v>
      </c>
      <c r="V10" s="72"/>
      <c r="W10" s="11">
        <f t="shared" ref="W10:W34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204</v>
      </c>
      <c r="H11" s="97" t="s">
        <v>204</v>
      </c>
      <c r="I11" s="98" t="s">
        <v>204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4" si="5">SUM(B12:D12)</f>
        <v>0</v>
      </c>
      <c r="F12" s="38"/>
      <c r="G12" s="96" t="s">
        <v>205</v>
      </c>
      <c r="H12" s="97" t="s">
        <v>205</v>
      </c>
      <c r="I12" s="98" t="s">
        <v>205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 ht="15" customHeight="1">
      <c r="B14" s="57"/>
      <c r="C14" s="57"/>
      <c r="D14" s="57"/>
      <c r="E14" s="52">
        <f t="shared" si="5"/>
        <v>0</v>
      </c>
      <c r="F14" s="38"/>
      <c r="G14" s="96" t="s">
        <v>206</v>
      </c>
      <c r="H14" s="97" t="s">
        <v>206</v>
      </c>
      <c r="I14" s="98" t="s">
        <v>206</v>
      </c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 t="s">
        <v>207</v>
      </c>
      <c r="H16" s="97" t="s">
        <v>207</v>
      </c>
      <c r="I16" s="98" t="s">
        <v>207</v>
      </c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 t="s">
        <v>208</v>
      </c>
      <c r="H17" s="97" t="s">
        <v>208</v>
      </c>
      <c r="I17" s="98" t="s">
        <v>208</v>
      </c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 ht="15" customHeight="1">
      <c r="B18" s="57"/>
      <c r="C18" s="57"/>
      <c r="D18" s="57"/>
      <c r="E18" s="52">
        <f t="shared" si="5"/>
        <v>0</v>
      </c>
      <c r="F18" s="38"/>
      <c r="G18" s="96" t="s">
        <v>209</v>
      </c>
      <c r="H18" s="97" t="s">
        <v>209</v>
      </c>
      <c r="I18" s="98" t="s">
        <v>209</v>
      </c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 t="s">
        <v>210</v>
      </c>
      <c r="H19" s="97" t="s">
        <v>210</v>
      </c>
      <c r="I19" s="98" t="s">
        <v>210</v>
      </c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 ht="15" customHeight="1">
      <c r="B20" s="57"/>
      <c r="C20" s="57"/>
      <c r="D20" s="57"/>
      <c r="E20" s="52">
        <f t="shared" si="5"/>
        <v>0</v>
      </c>
      <c r="F20" s="38"/>
      <c r="G20" s="96" t="s">
        <v>211</v>
      </c>
      <c r="H20" s="97" t="s">
        <v>211</v>
      </c>
      <c r="I20" s="98" t="s">
        <v>211</v>
      </c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 ht="15" customHeight="1">
      <c r="B21" s="57"/>
      <c r="C21" s="57"/>
      <c r="D21" s="57"/>
      <c r="E21" s="52">
        <f t="shared" si="5"/>
        <v>0</v>
      </c>
      <c r="F21" s="38"/>
      <c r="G21" s="96" t="s">
        <v>212</v>
      </c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 t="s">
        <v>213</v>
      </c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 t="s">
        <v>214</v>
      </c>
      <c r="H23" s="97" t="s">
        <v>214</v>
      </c>
      <c r="I23" s="98" t="s">
        <v>214</v>
      </c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 ht="15" customHeight="1">
      <c r="B24" s="57"/>
      <c r="C24" s="57"/>
      <c r="D24" s="57"/>
      <c r="E24" s="52">
        <f t="shared" si="5"/>
        <v>0</v>
      </c>
      <c r="F24" s="38"/>
      <c r="G24" s="96" t="s">
        <v>215</v>
      </c>
      <c r="H24" s="97" t="s">
        <v>215</v>
      </c>
      <c r="I24" s="98" t="s">
        <v>215</v>
      </c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 t="s">
        <v>216</v>
      </c>
      <c r="H25" s="97" t="s">
        <v>216</v>
      </c>
      <c r="I25" s="98" t="s">
        <v>216</v>
      </c>
      <c r="J25" s="55"/>
      <c r="K25" s="43"/>
      <c r="L25" s="62"/>
      <c r="M25" s="11">
        <f t="shared" ref="M25:O34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 ht="15" customHeight="1">
      <c r="B26" s="57"/>
      <c r="C26" s="57"/>
      <c r="D26" s="57"/>
      <c r="E26" s="52">
        <f t="shared" si="5"/>
        <v>0</v>
      </c>
      <c r="F26" s="38"/>
      <c r="G26" s="96" t="s">
        <v>217</v>
      </c>
      <c r="H26" s="97" t="s">
        <v>217</v>
      </c>
      <c r="I26" s="98" t="s">
        <v>217</v>
      </c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 t="s">
        <v>218</v>
      </c>
      <c r="H27" s="97" t="s">
        <v>218</v>
      </c>
      <c r="I27" s="98" t="s">
        <v>218</v>
      </c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 ht="15" customHeight="1">
      <c r="B28" s="57"/>
      <c r="C28" s="57"/>
      <c r="D28" s="57"/>
      <c r="E28" s="52">
        <f t="shared" si="5"/>
        <v>0</v>
      </c>
      <c r="F28" s="38"/>
      <c r="G28" s="96" t="s">
        <v>219</v>
      </c>
      <c r="H28" s="97" t="s">
        <v>219</v>
      </c>
      <c r="I28" s="98" t="s">
        <v>219</v>
      </c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>
      <c r="B31" s="57"/>
      <c r="C31" s="57"/>
      <c r="D31" s="57"/>
      <c r="E31" s="52">
        <f t="shared" si="5"/>
        <v>0</v>
      </c>
      <c r="F31" s="38"/>
      <c r="G31" s="96"/>
      <c r="H31" s="97"/>
      <c r="I31" s="98"/>
      <c r="J31" s="55"/>
      <c r="K31" s="43"/>
      <c r="L31" s="62"/>
      <c r="M31" s="11">
        <f t="shared" si="6"/>
        <v>0</v>
      </c>
      <c r="N31" s="71"/>
      <c r="O31" s="11">
        <f t="shared" si="6"/>
        <v>0</v>
      </c>
      <c r="P31" s="71"/>
      <c r="Q31" s="11">
        <f t="shared" si="1"/>
        <v>0</v>
      </c>
      <c r="R31" s="71"/>
      <c r="S31" s="11">
        <f t="shared" si="2"/>
        <v>0</v>
      </c>
      <c r="T31" s="71"/>
      <c r="U31" s="11">
        <f t="shared" si="3"/>
        <v>0</v>
      </c>
      <c r="V31" s="72"/>
      <c r="W31" s="11">
        <f t="shared" si="4"/>
        <v>0</v>
      </c>
    </row>
    <row r="32" spans="2:23">
      <c r="B32" s="57"/>
      <c r="C32" s="57"/>
      <c r="D32" s="57"/>
      <c r="E32" s="52">
        <f t="shared" si="5"/>
        <v>0</v>
      </c>
      <c r="F32" s="38"/>
      <c r="G32" s="96"/>
      <c r="H32" s="97"/>
      <c r="I32" s="98"/>
      <c r="J32" s="55"/>
      <c r="K32" s="43"/>
      <c r="L32" s="62"/>
      <c r="M32" s="11">
        <f t="shared" si="6"/>
        <v>0</v>
      </c>
      <c r="N32" s="71"/>
      <c r="O32" s="11">
        <f t="shared" si="6"/>
        <v>0</v>
      </c>
      <c r="P32" s="71"/>
      <c r="Q32" s="11">
        <f t="shared" si="1"/>
        <v>0</v>
      </c>
      <c r="R32" s="71"/>
      <c r="S32" s="11">
        <f t="shared" si="2"/>
        <v>0</v>
      </c>
      <c r="T32" s="71"/>
      <c r="U32" s="11">
        <f t="shared" si="3"/>
        <v>0</v>
      </c>
      <c r="V32" s="72"/>
      <c r="W32" s="11">
        <f t="shared" si="4"/>
        <v>0</v>
      </c>
    </row>
    <row r="33" spans="2:23">
      <c r="B33" s="50"/>
      <c r="C33" s="50"/>
      <c r="D33" s="50"/>
      <c r="E33" s="52">
        <f t="shared" si="5"/>
        <v>0</v>
      </c>
      <c r="F33" s="38"/>
      <c r="G33" s="96"/>
      <c r="H33" s="97"/>
      <c r="I33" s="98"/>
      <c r="J33" s="55"/>
      <c r="K33" s="43"/>
      <c r="L33" s="45"/>
      <c r="M33" s="11">
        <f t="shared" si="6"/>
        <v>0</v>
      </c>
      <c r="N33" s="10"/>
      <c r="O33" s="11">
        <f t="shared" si="6"/>
        <v>0</v>
      </c>
      <c r="P33" s="10"/>
      <c r="Q33" s="11">
        <f t="shared" si="1"/>
        <v>0</v>
      </c>
      <c r="R33" s="10"/>
      <c r="S33" s="11">
        <f t="shared" si="2"/>
        <v>0</v>
      </c>
      <c r="T33" s="10"/>
      <c r="U33" s="11">
        <f t="shared" si="3"/>
        <v>0</v>
      </c>
      <c r="V33" s="12"/>
      <c r="W33" s="11">
        <f t="shared" si="4"/>
        <v>0</v>
      </c>
    </row>
    <row r="34" spans="2:23" ht="15.75" thickBot="1">
      <c r="B34" s="60"/>
      <c r="C34" s="60"/>
      <c r="D34" s="60"/>
      <c r="E34" s="52">
        <f t="shared" si="5"/>
        <v>0</v>
      </c>
      <c r="F34" s="61"/>
      <c r="G34" s="99"/>
      <c r="H34" s="100"/>
      <c r="I34" s="101"/>
      <c r="J34" s="55"/>
      <c r="K34" s="63"/>
      <c r="L34" s="73"/>
      <c r="M34" s="76">
        <f t="shared" si="6"/>
        <v>0</v>
      </c>
      <c r="N34" s="74"/>
      <c r="O34" s="76">
        <f t="shared" si="6"/>
        <v>0</v>
      </c>
      <c r="P34" s="74"/>
      <c r="Q34" s="76">
        <f t="shared" si="1"/>
        <v>0</v>
      </c>
      <c r="R34" s="74"/>
      <c r="S34" s="76">
        <f t="shared" si="2"/>
        <v>0</v>
      </c>
      <c r="T34" s="74"/>
      <c r="U34" s="76">
        <f t="shared" si="3"/>
        <v>0</v>
      </c>
      <c r="V34" s="75"/>
      <c r="W34" s="76">
        <f t="shared" si="4"/>
        <v>0</v>
      </c>
    </row>
    <row r="35" spans="2:23">
      <c r="B35" s="56">
        <f>SUM(B13:B34)</f>
        <v>0</v>
      </c>
      <c r="C35" s="56">
        <f>SUM(C13:C34)</f>
        <v>0</v>
      </c>
      <c r="D35" s="56">
        <f>SUM(D13:D34)</f>
        <v>0</v>
      </c>
      <c r="E35" s="51">
        <f>SUM(E9:E34)</f>
        <v>0</v>
      </c>
      <c r="F35" s="64"/>
      <c r="G35" s="102" t="s">
        <v>138</v>
      </c>
      <c r="H35" s="103"/>
      <c r="I35" s="104"/>
      <c r="J35" s="65"/>
      <c r="K35" s="65"/>
      <c r="L35" s="66"/>
      <c r="M35" s="67">
        <f>SUM(M9:M34)</f>
        <v>0</v>
      </c>
      <c r="N35" s="68"/>
      <c r="O35" s="69">
        <f>SUM(O9:O34)</f>
        <v>0</v>
      </c>
      <c r="P35" s="68"/>
      <c r="Q35" s="70">
        <f>SUM(Q9:Q34)</f>
        <v>0</v>
      </c>
      <c r="R35" s="68"/>
      <c r="S35" s="69">
        <f>SUM(S9:S34)</f>
        <v>0</v>
      </c>
      <c r="T35" s="68"/>
      <c r="U35" s="70">
        <f>SUM(U9:U34)</f>
        <v>0</v>
      </c>
      <c r="V35" s="68"/>
      <c r="W35" s="69">
        <f>SUM(W9:W34)</f>
        <v>0</v>
      </c>
    </row>
    <row r="36" spans="2:23">
      <c r="B36" s="34"/>
      <c r="C36" s="34"/>
      <c r="D36" s="34"/>
      <c r="E36" s="28"/>
      <c r="F36" s="39"/>
      <c r="G36" s="105" t="s">
        <v>139</v>
      </c>
      <c r="H36" s="106"/>
      <c r="I36" s="107"/>
      <c r="J36" s="31"/>
      <c r="K36" s="31"/>
      <c r="L36" s="46"/>
      <c r="M36" s="16">
        <f>$C$44</f>
        <v>0</v>
      </c>
      <c r="N36" s="15"/>
      <c r="O36" s="16">
        <f>$C$44</f>
        <v>0</v>
      </c>
      <c r="P36" s="15"/>
      <c r="Q36" s="16">
        <f>$C$44</f>
        <v>0</v>
      </c>
      <c r="R36" s="15"/>
      <c r="S36" s="16">
        <f>$C$44</f>
        <v>0</v>
      </c>
      <c r="T36" s="15"/>
      <c r="U36" s="16">
        <f>$C$44</f>
        <v>0</v>
      </c>
      <c r="V36" s="15"/>
      <c r="W36" s="16">
        <f>$C$44</f>
        <v>0</v>
      </c>
    </row>
    <row r="37" spans="2:23" ht="15.75" thickBot="1">
      <c r="B37" s="34"/>
      <c r="C37" s="34"/>
      <c r="D37" s="34"/>
      <c r="E37" s="28"/>
      <c r="F37" s="39"/>
      <c r="G37" s="105" t="s">
        <v>140</v>
      </c>
      <c r="H37" s="106"/>
      <c r="I37" s="107"/>
      <c r="J37" s="31"/>
      <c r="K37" s="31"/>
      <c r="L37" s="47"/>
      <c r="M37" s="17">
        <f>M35*M36</f>
        <v>0</v>
      </c>
      <c r="N37" s="13"/>
      <c r="O37" s="18">
        <f>O35*O36</f>
        <v>0</v>
      </c>
      <c r="P37" s="13"/>
      <c r="Q37" s="17">
        <f>Q35*Q36</f>
        <v>0</v>
      </c>
      <c r="R37" s="13"/>
      <c r="S37" s="18">
        <f>S35*S36</f>
        <v>0</v>
      </c>
      <c r="T37" s="13"/>
      <c r="U37" s="17">
        <f>U35*U36</f>
        <v>0</v>
      </c>
      <c r="V37" s="13"/>
      <c r="W37" s="18">
        <f>W35*W36</f>
        <v>0</v>
      </c>
    </row>
    <row r="38" spans="2:23">
      <c r="B38" s="56">
        <f>B35</f>
        <v>0</v>
      </c>
      <c r="C38" s="56">
        <f>C35</f>
        <v>0</v>
      </c>
      <c r="D38" s="56">
        <f>D35</f>
        <v>0</v>
      </c>
      <c r="E38" s="53">
        <f>SUM(E35)</f>
        <v>0</v>
      </c>
      <c r="F38" s="40"/>
      <c r="G38" s="108" t="s">
        <v>141</v>
      </c>
      <c r="H38" s="109"/>
      <c r="I38" s="110"/>
      <c r="J38" s="33"/>
      <c r="K38" s="33"/>
      <c r="L38" s="48"/>
      <c r="M38" s="20">
        <f>SUM(M35,M37)</f>
        <v>0</v>
      </c>
      <c r="N38" s="19"/>
      <c r="O38" s="20">
        <f>SUM(O35,O37)</f>
        <v>0</v>
      </c>
      <c r="P38" s="19"/>
      <c r="Q38" s="20">
        <f>SUM(Q35,Q37)</f>
        <v>0</v>
      </c>
      <c r="R38" s="19"/>
      <c r="S38" s="20">
        <f>SUM(S35,S37)</f>
        <v>0</v>
      </c>
      <c r="T38" s="19"/>
      <c r="U38" s="20">
        <f>SUM(U35,U37)</f>
        <v>0</v>
      </c>
      <c r="V38" s="19"/>
      <c r="W38" s="20">
        <f>SUM(W35,W37)</f>
        <v>0</v>
      </c>
    </row>
    <row r="39" spans="2:23">
      <c r="B39" s="34"/>
      <c r="C39" s="34"/>
      <c r="D39" s="34"/>
      <c r="E39" s="28"/>
      <c r="F39" s="39"/>
      <c r="G39" s="105" t="s">
        <v>142</v>
      </c>
      <c r="H39" s="106"/>
      <c r="I39" s="107"/>
      <c r="J39" s="31"/>
      <c r="K39" s="31"/>
      <c r="L39" s="47"/>
      <c r="M39" s="17">
        <f>M38-$E$35</f>
        <v>0</v>
      </c>
      <c r="N39" s="13"/>
      <c r="O39" s="17">
        <f>O38-$E$35</f>
        <v>0</v>
      </c>
      <c r="P39" s="13"/>
      <c r="Q39" s="17">
        <f>Q38-$E$35</f>
        <v>0</v>
      </c>
      <c r="R39" s="13"/>
      <c r="S39" s="17">
        <f>S38-$E$35</f>
        <v>0</v>
      </c>
      <c r="T39" s="13"/>
      <c r="U39" s="17">
        <f>U38-$E$35</f>
        <v>0</v>
      </c>
      <c r="V39" s="13"/>
      <c r="W39" s="17">
        <f>W38-$E$35</f>
        <v>0</v>
      </c>
    </row>
    <row r="40" spans="2:23" ht="15.75" thickBot="1">
      <c r="B40" s="35"/>
      <c r="C40" s="35"/>
      <c r="D40" s="35"/>
      <c r="E40" s="27"/>
      <c r="F40" s="41"/>
      <c r="G40" s="93" t="s">
        <v>143</v>
      </c>
      <c r="H40" s="94"/>
      <c r="I40" s="95"/>
      <c r="J40" s="32"/>
      <c r="K40" s="32"/>
      <c r="L40" s="49"/>
      <c r="M40" s="22" t="e">
        <f>M39 / $E$38</f>
        <v>#DIV/0!</v>
      </c>
      <c r="N40" s="21"/>
      <c r="O40" s="22" t="e">
        <f>O39 / $E$38</f>
        <v>#DIV/0!</v>
      </c>
      <c r="P40" s="21"/>
      <c r="Q40" s="22" t="e">
        <f>Q39 / $E$38</f>
        <v>#DIV/0!</v>
      </c>
      <c r="R40" s="21"/>
      <c r="S40" s="22" t="e">
        <f>S39 / $E$38</f>
        <v>#DIV/0!</v>
      </c>
      <c r="T40" s="21"/>
      <c r="U40" s="22" t="e">
        <f>U39 / $E$38</f>
        <v>#DIV/0!</v>
      </c>
      <c r="V40" s="21"/>
      <c r="W40" s="22" t="e">
        <f>W39 / $E$38</f>
        <v>#DIV/0!</v>
      </c>
    </row>
    <row r="44" spans="2:23">
      <c r="B44" s="14" t="s">
        <v>144</v>
      </c>
      <c r="C44" s="26">
        <v>0</v>
      </c>
    </row>
  </sheetData>
  <mergeCells count="82">
    <mergeCell ref="V6:W6"/>
    <mergeCell ref="L6:M6"/>
    <mergeCell ref="N6:O6"/>
    <mergeCell ref="P6:Q6"/>
    <mergeCell ref="R6:S6"/>
    <mergeCell ref="T6:U6"/>
    <mergeCell ref="V7:W7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R7:S7"/>
    <mergeCell ref="T7:U7"/>
    <mergeCell ref="J7:K7"/>
    <mergeCell ref="G15:I15"/>
    <mergeCell ref="T4:U4"/>
    <mergeCell ref="G18:I18"/>
    <mergeCell ref="G12:I12"/>
    <mergeCell ref="L7:M7"/>
    <mergeCell ref="N7:O7"/>
    <mergeCell ref="P7:Q7"/>
    <mergeCell ref="G36:I36"/>
    <mergeCell ref="G37:I37"/>
    <mergeCell ref="G38:I38"/>
    <mergeCell ref="G39:I39"/>
    <mergeCell ref="G40:I40"/>
    <mergeCell ref="B2:C2"/>
    <mergeCell ref="G35:I35"/>
    <mergeCell ref="G25:I25"/>
    <mergeCell ref="G26:I26"/>
    <mergeCell ref="G27:I27"/>
    <mergeCell ref="G28:I28"/>
    <mergeCell ref="G29:I29"/>
    <mergeCell ref="G34:I34"/>
    <mergeCell ref="G19:I19"/>
    <mergeCell ref="G23:I23"/>
    <mergeCell ref="G24:I24"/>
    <mergeCell ref="G13:I13"/>
    <mergeCell ref="G14:I14"/>
    <mergeCell ref="G8:I8"/>
    <mergeCell ref="G9:I9"/>
    <mergeCell ref="G10:I10"/>
    <mergeCell ref="G30:I30"/>
    <mergeCell ref="G31:I31"/>
    <mergeCell ref="G32:I32"/>
    <mergeCell ref="G33:I33"/>
    <mergeCell ref="D2:F2"/>
    <mergeCell ref="D3:F3"/>
    <mergeCell ref="D4:F4"/>
    <mergeCell ref="G11:I11"/>
    <mergeCell ref="B7:D7"/>
    <mergeCell ref="B3:C3"/>
    <mergeCell ref="B4:C4"/>
    <mergeCell ref="G16:I16"/>
    <mergeCell ref="G17:I17"/>
    <mergeCell ref="G20:I20"/>
    <mergeCell ref="G21:I21"/>
    <mergeCell ref="G22:I22"/>
  </mergeCells>
  <conditionalFormatting sqref="M39:M40 O39:O40 Q39:Q40 S39:S40 U39:U40 W39:W40">
    <cfRule type="cellIs" dxfId="157" priority="1" operator="lessThan">
      <formula>0</formula>
    </cfRule>
    <cfRule type="cellIs" dxfId="156" priority="2" operator="greaterThan">
      <formula>0</formula>
    </cfRule>
  </conditionalFormatting>
  <hyperlinks>
    <hyperlink ref="B1" location="INDEX!A1" display="INDEX" xr:uid="{C24313E0-C0A5-419D-8B2D-52AE8D9B7742}"/>
  </hyperlinks>
  <pageMargins left="0.45" right="0.45" top="0.5" bottom="0.5" header="0.3" footer="0.3"/>
  <pageSetup scale="4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ECF7-08D6-4BB4-8200-5600898067F0}">
  <sheetPr>
    <pageSetUpPr autoPageBreaks="0" fitToPage="1"/>
  </sheetPr>
  <dimension ref="B1:W41"/>
  <sheetViews>
    <sheetView showGridLines="0" zoomScale="80" zoomScaleNormal="80" zoomScaleSheetLayoutView="85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220</v>
      </c>
      <c r="G9" s="114" t="s">
        <v>221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222</v>
      </c>
      <c r="H11" s="97" t="s">
        <v>222</v>
      </c>
      <c r="I11" s="98" t="s">
        <v>222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223</v>
      </c>
      <c r="H12" s="97" t="s">
        <v>223</v>
      </c>
      <c r="I12" s="98" t="s">
        <v>223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224</v>
      </c>
      <c r="H13" s="97" t="s">
        <v>224</v>
      </c>
      <c r="I13" s="98" t="s">
        <v>224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 t="s">
        <v>225</v>
      </c>
      <c r="H14" s="97" t="s">
        <v>225</v>
      </c>
      <c r="I14" s="98" t="s">
        <v>225</v>
      </c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 t="s">
        <v>226</v>
      </c>
      <c r="H15" s="97" t="s">
        <v>226</v>
      </c>
      <c r="I15" s="98" t="s">
        <v>226</v>
      </c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 t="s">
        <v>227</v>
      </c>
      <c r="H16" s="97" t="s">
        <v>227</v>
      </c>
      <c r="I16" s="98" t="s">
        <v>227</v>
      </c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 t="s">
        <v>228</v>
      </c>
      <c r="H17" s="97" t="s">
        <v>228</v>
      </c>
      <c r="I17" s="98" t="s">
        <v>228</v>
      </c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 t="s">
        <v>229</v>
      </c>
      <c r="H20" s="97" t="s">
        <v>229</v>
      </c>
      <c r="I20" s="98" t="s">
        <v>229</v>
      </c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 t="s">
        <v>230</v>
      </c>
      <c r="H23" s="97" t="s">
        <v>230</v>
      </c>
      <c r="I23" s="98" t="s">
        <v>230</v>
      </c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 t="s">
        <v>204</v>
      </c>
      <c r="H26" s="97" t="s">
        <v>204</v>
      </c>
      <c r="I26" s="98" t="s">
        <v>204</v>
      </c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55" priority="1" operator="lessThan">
      <formula>0</formula>
    </cfRule>
    <cfRule type="cellIs" dxfId="154" priority="2" operator="greaterThan">
      <formula>0</formula>
    </cfRule>
  </conditionalFormatting>
  <hyperlinks>
    <hyperlink ref="B1" location="INDEX!A1" display="INDEX" xr:uid="{B94FD9B8-6ABA-4CD5-97B1-56A3D749DF2B}"/>
  </hyperlinks>
  <pageMargins left="0.45" right="0.45" top="0.5" bottom="0.5" header="0.3" footer="0.3"/>
  <pageSetup scale="4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244B-696D-4AFF-85E4-517D98E79919}">
  <sheetPr>
    <pageSetUpPr autoPageBreaks="0" fitToPage="1"/>
  </sheetPr>
  <dimension ref="B1:W41"/>
  <sheetViews>
    <sheetView showGridLines="0" tabSelected="1" topLeftCell="F1" zoomScale="80" zoomScaleNormal="80" zoomScaleSheetLayoutView="85" workbookViewId="0">
      <selection activeCell="G21" sqref="G21:I21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231</v>
      </c>
      <c r="G9" s="114" t="s">
        <v>232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68"/>
      <c r="H10" s="169"/>
      <c r="I10" s="170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 ht="15" customHeight="1">
      <c r="B11" s="57"/>
      <c r="C11" s="57"/>
      <c r="D11" s="57"/>
      <c r="E11" s="52">
        <f>SUM(B11:D11)</f>
        <v>0</v>
      </c>
      <c r="F11" s="38" t="s">
        <v>231</v>
      </c>
      <c r="G11" s="171" t="s">
        <v>233</v>
      </c>
      <c r="H11" s="172" t="s">
        <v>233</v>
      </c>
      <c r="I11" s="173" t="s">
        <v>233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 ht="15" customHeight="1">
      <c r="B12" s="57"/>
      <c r="C12" s="57"/>
      <c r="D12" s="57"/>
      <c r="E12" s="52">
        <f t="shared" ref="E12:E31" si="5">SUM(B12:D12)</f>
        <v>0</v>
      </c>
      <c r="F12" s="38" t="s">
        <v>234</v>
      </c>
      <c r="G12" s="171" t="s">
        <v>235</v>
      </c>
      <c r="H12" s="172"/>
      <c r="I12" s="173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 t="s">
        <v>236</v>
      </c>
      <c r="G13" s="171" t="s">
        <v>237</v>
      </c>
      <c r="H13" s="172" t="s">
        <v>237</v>
      </c>
      <c r="I13" s="173" t="s">
        <v>237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68"/>
      <c r="H14" s="169"/>
      <c r="I14" s="170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68"/>
      <c r="H15" s="169"/>
      <c r="I15" s="170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68"/>
      <c r="H16" s="169"/>
      <c r="I16" s="170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68"/>
      <c r="H17" s="169"/>
      <c r="I17" s="170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68"/>
      <c r="H18" s="169"/>
      <c r="I18" s="170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68"/>
      <c r="H19" s="169"/>
      <c r="I19" s="170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68"/>
      <c r="H20" s="169"/>
      <c r="I20" s="170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68"/>
      <c r="H21" s="169"/>
      <c r="I21" s="170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68"/>
      <c r="H22" s="169"/>
      <c r="I22" s="170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68"/>
      <c r="H23" s="169"/>
      <c r="I23" s="170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68"/>
      <c r="H24" s="169"/>
      <c r="I24" s="170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68"/>
      <c r="H25" s="169"/>
      <c r="I25" s="170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68"/>
      <c r="H26" s="169"/>
      <c r="I26" s="170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68"/>
      <c r="H27" s="169"/>
      <c r="I27" s="170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68"/>
      <c r="H28" s="169"/>
      <c r="I28" s="170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68"/>
      <c r="H29" s="169"/>
      <c r="I29" s="170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68"/>
      <c r="H30" s="169"/>
      <c r="I30" s="170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65"/>
      <c r="H31" s="166"/>
      <c r="I31" s="167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53" priority="1" operator="lessThan">
      <formula>0</formula>
    </cfRule>
    <cfRule type="cellIs" dxfId="152" priority="2" operator="greaterThan">
      <formula>0</formula>
    </cfRule>
  </conditionalFormatting>
  <hyperlinks>
    <hyperlink ref="B1" location="INDEX!A1" display="INDEX" xr:uid="{95378556-6C09-4BB5-8A03-1503A204FC97}"/>
  </hyperlinks>
  <pageMargins left="0.45" right="0.45" top="0.5" bottom="0.5" header="0.3" footer="0.3"/>
  <pageSetup scale="4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0381-2E9A-4923-9B19-B16AB93BD066}">
  <sheetPr>
    <pageSetUpPr autoPageBreaks="0" fitToPage="1"/>
  </sheetPr>
  <dimension ref="B1:W41"/>
  <sheetViews>
    <sheetView showGridLines="0" topLeftCell="F1" zoomScale="80" zoomScaleNormal="80" zoomScaleSheetLayoutView="85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238</v>
      </c>
      <c r="G9" s="114" t="s">
        <v>239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240</v>
      </c>
      <c r="H11" s="97" t="s">
        <v>240</v>
      </c>
      <c r="I11" s="98" t="s">
        <v>240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61" t="s">
        <v>241</v>
      </c>
      <c r="H12" s="162" t="s">
        <v>241</v>
      </c>
      <c r="I12" s="163" t="s">
        <v>241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61" t="s">
        <v>242</v>
      </c>
      <c r="H13" s="162" t="s">
        <v>242</v>
      </c>
      <c r="I13" s="163" t="s">
        <v>242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61" t="s">
        <v>243</v>
      </c>
      <c r="H14" s="162" t="s">
        <v>243</v>
      </c>
      <c r="I14" s="163" t="s">
        <v>243</v>
      </c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61" t="s">
        <v>244</v>
      </c>
      <c r="H15" s="162" t="s">
        <v>244</v>
      </c>
      <c r="I15" s="163" t="s">
        <v>244</v>
      </c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61" t="s">
        <v>245</v>
      </c>
      <c r="H16" s="162" t="s">
        <v>245</v>
      </c>
      <c r="I16" s="163" t="s">
        <v>245</v>
      </c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61" t="s">
        <v>246</v>
      </c>
      <c r="H17" s="162" t="s">
        <v>246</v>
      </c>
      <c r="I17" s="163" t="s">
        <v>246</v>
      </c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61" t="s">
        <v>247</v>
      </c>
      <c r="H18" s="162" t="s">
        <v>247</v>
      </c>
      <c r="I18" s="163" t="s">
        <v>247</v>
      </c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61" t="s">
        <v>248</v>
      </c>
      <c r="H19" s="162" t="s">
        <v>248</v>
      </c>
      <c r="I19" s="163" t="s">
        <v>248</v>
      </c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 t="s">
        <v>249</v>
      </c>
      <c r="H22" s="97" t="s">
        <v>249</v>
      </c>
      <c r="I22" s="98" t="s">
        <v>249</v>
      </c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 t="s">
        <v>250</v>
      </c>
      <c r="H23" s="97" t="s">
        <v>250</v>
      </c>
      <c r="I23" s="98" t="s">
        <v>250</v>
      </c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 t="s">
        <v>251</v>
      </c>
      <c r="H24" s="97" t="s">
        <v>251</v>
      </c>
      <c r="I24" s="98" t="s">
        <v>251</v>
      </c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 t="s">
        <v>252</v>
      </c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51" priority="1" operator="lessThan">
      <formula>0</formula>
    </cfRule>
    <cfRule type="cellIs" dxfId="150" priority="2" operator="greaterThan">
      <formula>0</formula>
    </cfRule>
  </conditionalFormatting>
  <hyperlinks>
    <hyperlink ref="B1" location="INDEX!A1" display="INDEX" xr:uid="{AB01EC5F-3DDE-4B5D-BEFC-4E3E19634B6F}"/>
  </hyperlinks>
  <pageMargins left="0.45" right="0.45" top="0.5" bottom="0.5" header="0.3" footer="0.3"/>
  <pageSetup scale="4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BAC7-E464-4A54-86FE-5AA221E493CC}">
  <sheetPr>
    <pageSetUpPr autoPageBreaks="0" fitToPage="1"/>
  </sheetPr>
  <dimension ref="B1:W41"/>
  <sheetViews>
    <sheetView showGridLines="0" zoomScale="80" zoomScaleNormal="80" zoomScaleSheetLayoutView="70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253</v>
      </c>
      <c r="G9" s="114" t="s">
        <v>254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255</v>
      </c>
      <c r="H11" s="97" t="s">
        <v>255</v>
      </c>
      <c r="I11" s="98" t="s">
        <v>255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256</v>
      </c>
      <c r="H12" s="97" t="s">
        <v>256</v>
      </c>
      <c r="I12" s="98" t="s">
        <v>256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257</v>
      </c>
      <c r="H13" s="97" t="s">
        <v>257</v>
      </c>
      <c r="I13" s="98" t="s">
        <v>257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 t="s">
        <v>258</v>
      </c>
      <c r="H14" s="97" t="s">
        <v>258</v>
      </c>
      <c r="I14" s="98" t="s">
        <v>258</v>
      </c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49" priority="1" operator="lessThan">
      <formula>0</formula>
    </cfRule>
    <cfRule type="cellIs" dxfId="148" priority="2" operator="greaterThan">
      <formula>0</formula>
    </cfRule>
  </conditionalFormatting>
  <hyperlinks>
    <hyperlink ref="B1" location="INDEX!A1" display="INDEX" xr:uid="{6336A345-18E1-4962-B256-6DD80959E5CF}"/>
  </hyperlinks>
  <pageMargins left="0.45" right="0.45" top="0.5" bottom="0.5" header="0.3" footer="0.3"/>
  <pageSetup scale="4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20B9-DE83-408F-8CF5-7BB5B724F920}">
  <sheetPr>
    <pageSetUpPr autoPageBreaks="0" fitToPage="1"/>
  </sheetPr>
  <dimension ref="B1:W41"/>
  <sheetViews>
    <sheetView showGridLines="0" zoomScale="80" zoomScaleNormal="80" zoomScaleSheetLayoutView="70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259</v>
      </c>
      <c r="G9" s="114" t="s">
        <v>260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261</v>
      </c>
      <c r="H11" s="97" t="s">
        <v>261</v>
      </c>
      <c r="I11" s="98" t="s">
        <v>261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262</v>
      </c>
      <c r="H13" s="97" t="s">
        <v>262</v>
      </c>
      <c r="I13" s="98" t="s">
        <v>262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47" priority="1" operator="lessThan">
      <formula>0</formula>
    </cfRule>
    <cfRule type="cellIs" dxfId="146" priority="2" operator="greaterThan">
      <formula>0</formula>
    </cfRule>
  </conditionalFormatting>
  <hyperlinks>
    <hyperlink ref="B1" location="INDEX!A1" display="INDEX" xr:uid="{7992899E-BE09-44F8-B3F6-C7DD1EC259C5}"/>
  </hyperlinks>
  <pageMargins left="0.45" right="0.45" top="0.5" bottom="0.5" header="0.3" footer="0.3"/>
  <pageSetup scale="4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AAB6-690B-4D06-87F1-62CB4E0B1AFD}">
  <sheetPr>
    <pageSetUpPr autoPageBreaks="0" fitToPage="1"/>
  </sheetPr>
  <dimension ref="B1:W41"/>
  <sheetViews>
    <sheetView showGridLines="0" zoomScale="80" zoomScaleNormal="80" zoomScaleSheetLayoutView="70" workbookViewId="0">
      <selection activeCell="G11" sqref="G11:I11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263</v>
      </c>
      <c r="G9" s="114" t="s">
        <v>264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265</v>
      </c>
      <c r="H11" s="97" t="s">
        <v>266</v>
      </c>
      <c r="I11" s="98" t="s">
        <v>266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267</v>
      </c>
      <c r="H12" s="97" t="s">
        <v>268</v>
      </c>
      <c r="I12" s="98" t="s">
        <v>268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269</v>
      </c>
      <c r="H13" s="97" t="s">
        <v>270</v>
      </c>
      <c r="I13" s="98" t="s">
        <v>270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R2:S2"/>
    <mergeCell ref="T2:U2"/>
    <mergeCell ref="V2:W2"/>
    <mergeCell ref="B3:C3"/>
    <mergeCell ref="D3:F3"/>
    <mergeCell ref="J3:K3"/>
    <mergeCell ref="L3:M3"/>
    <mergeCell ref="N3:O3"/>
    <mergeCell ref="P3:Q3"/>
    <mergeCell ref="R3:S3"/>
    <mergeCell ref="B2:C2"/>
    <mergeCell ref="D2:F2"/>
    <mergeCell ref="J2:K2"/>
    <mergeCell ref="L2:M2"/>
    <mergeCell ref="N2:O2"/>
    <mergeCell ref="P2:Q2"/>
    <mergeCell ref="T3:U3"/>
    <mergeCell ref="V3:W3"/>
    <mergeCell ref="B4:C4"/>
    <mergeCell ref="D4:F4"/>
    <mergeCell ref="J4:K4"/>
    <mergeCell ref="L4:M4"/>
    <mergeCell ref="N4:O4"/>
    <mergeCell ref="P4:Q4"/>
    <mergeCell ref="R4:S4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G13:I13"/>
    <mergeCell ref="V6:W6"/>
    <mergeCell ref="B7:D7"/>
    <mergeCell ref="J7:K7"/>
    <mergeCell ref="L7:M7"/>
    <mergeCell ref="N7:O7"/>
    <mergeCell ref="P7:Q7"/>
    <mergeCell ref="R7:S7"/>
    <mergeCell ref="T7:U7"/>
    <mergeCell ref="V7:W7"/>
    <mergeCell ref="J6:K6"/>
    <mergeCell ref="L6:M6"/>
    <mergeCell ref="N6:O6"/>
    <mergeCell ref="P6:Q6"/>
    <mergeCell ref="R6:S6"/>
    <mergeCell ref="T6:U6"/>
    <mergeCell ref="G8:I8"/>
    <mergeCell ref="G9:I9"/>
    <mergeCell ref="G10:I10"/>
    <mergeCell ref="G11:I11"/>
    <mergeCell ref="G12:I12"/>
    <mergeCell ref="G25:I25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37:I37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</mergeCells>
  <conditionalFormatting sqref="M36:M37 O36:O37 Q36:Q37 S36:S37 U36:U37 W36:W37">
    <cfRule type="cellIs" dxfId="145" priority="1" operator="lessThan">
      <formula>0</formula>
    </cfRule>
    <cfRule type="cellIs" dxfId="144" priority="2" operator="greaterThan">
      <formula>0</formula>
    </cfRule>
  </conditionalFormatting>
  <hyperlinks>
    <hyperlink ref="B1" location="INDEX!A1" display="INDEX" xr:uid="{4FEAD2B6-42F4-45EC-B2C7-CD882B2432E4}"/>
  </hyperlinks>
  <pageMargins left="0.45" right="0.45" top="0.5" bottom="0.5" header="0.3" footer="0.3"/>
  <pageSetup scale="4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6D0F-D602-4425-A439-E801A503AC04}">
  <sheetPr>
    <pageSetUpPr autoPageBreaks="0" fitToPage="1"/>
  </sheetPr>
  <dimension ref="B1:W41"/>
  <sheetViews>
    <sheetView showGridLines="0" zoomScale="80" zoomScaleNormal="80" zoomScaleSheetLayoutView="70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271</v>
      </c>
      <c r="G9" s="114" t="s">
        <v>264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266</v>
      </c>
      <c r="H11" s="97" t="s">
        <v>266</v>
      </c>
      <c r="I11" s="98" t="s">
        <v>266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268</v>
      </c>
      <c r="H12" s="97" t="s">
        <v>268</v>
      </c>
      <c r="I12" s="98" t="s">
        <v>268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270</v>
      </c>
      <c r="H13" s="97" t="s">
        <v>270</v>
      </c>
      <c r="I13" s="98" t="s">
        <v>270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43" priority="1" operator="lessThan">
      <formula>0</formula>
    </cfRule>
    <cfRule type="cellIs" dxfId="142" priority="2" operator="greaterThan">
      <formula>0</formula>
    </cfRule>
  </conditionalFormatting>
  <hyperlinks>
    <hyperlink ref="B1" location="INDEX!A1" display="INDEX" xr:uid="{FC78060B-EE23-4FA6-99C7-2AAA216B10FE}"/>
  </hyperlinks>
  <pageMargins left="0.45" right="0.45" top="0.5" bottom="0.5" header="0.3" footer="0.3"/>
  <pageSetup scale="4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41A2-138C-44F1-A773-48263E035713}">
  <sheetPr>
    <pageSetUpPr autoPageBreaks="0" fitToPage="1"/>
  </sheetPr>
  <dimension ref="B1:W41"/>
  <sheetViews>
    <sheetView showGridLines="0" zoomScale="80" zoomScaleNormal="80" zoomScaleSheetLayoutView="70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272</v>
      </c>
      <c r="G9" s="114" t="s">
        <v>229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41" priority="1" operator="lessThan">
      <formula>0</formula>
    </cfRule>
    <cfRule type="cellIs" dxfId="140" priority="2" operator="greaterThan">
      <formula>0</formula>
    </cfRule>
  </conditionalFormatting>
  <hyperlinks>
    <hyperlink ref="B1" location="INDEX!A1" display="INDEX" xr:uid="{550A21C4-ED19-414B-8CD9-5BC01D90A314}"/>
  </hyperlinks>
  <pageMargins left="0.45" right="0.45" top="0.5" bottom="0.5" header="0.3" footer="0.3"/>
  <pageSetup scale="4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EB7E-57CA-4BC8-86F1-D1B2D05E9AC1}">
  <sheetPr>
    <pageSetUpPr autoPageBreaks="0" fitToPage="1"/>
  </sheetPr>
  <dimension ref="B1:W41"/>
  <sheetViews>
    <sheetView showGridLines="0" zoomScale="80" zoomScaleNormal="80" zoomScaleSheetLayoutView="70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273</v>
      </c>
      <c r="G9" s="114" t="s">
        <v>274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 t="s">
        <v>275</v>
      </c>
      <c r="G11" s="114" t="s">
        <v>276</v>
      </c>
      <c r="H11" s="115" t="s">
        <v>276</v>
      </c>
      <c r="I11" s="116" t="s">
        <v>276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277</v>
      </c>
      <c r="H12" s="97" t="s">
        <v>277</v>
      </c>
      <c r="I12" s="98" t="s">
        <v>277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278</v>
      </c>
      <c r="H13" s="97" t="s">
        <v>278</v>
      </c>
      <c r="I13" s="98" t="s">
        <v>278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 t="s">
        <v>279</v>
      </c>
      <c r="H14" s="97" t="s">
        <v>279</v>
      </c>
      <c r="I14" s="98" t="s">
        <v>279</v>
      </c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 t="s">
        <v>280</v>
      </c>
      <c r="G16" s="114" t="s">
        <v>281</v>
      </c>
      <c r="H16" s="115" t="s">
        <v>281</v>
      </c>
      <c r="I16" s="116" t="s">
        <v>281</v>
      </c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 t="s">
        <v>282</v>
      </c>
      <c r="H17" s="97" t="s">
        <v>282</v>
      </c>
      <c r="I17" s="98" t="s">
        <v>282</v>
      </c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61" t="s">
        <v>283</v>
      </c>
      <c r="H18" s="162" t="s">
        <v>283</v>
      </c>
      <c r="I18" s="163" t="s">
        <v>283</v>
      </c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61" t="s">
        <v>284</v>
      </c>
      <c r="H19" s="162" t="s">
        <v>284</v>
      </c>
      <c r="I19" s="163" t="s">
        <v>284</v>
      </c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61" t="s">
        <v>285</v>
      </c>
      <c r="H20" s="162" t="s">
        <v>285</v>
      </c>
      <c r="I20" s="163" t="s">
        <v>285</v>
      </c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 t="s">
        <v>286</v>
      </c>
      <c r="H21" s="97" t="s">
        <v>286</v>
      </c>
      <c r="I21" s="98" t="s">
        <v>286</v>
      </c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61" t="s">
        <v>287</v>
      </c>
      <c r="H22" s="162" t="s">
        <v>287</v>
      </c>
      <c r="I22" s="163" t="s">
        <v>287</v>
      </c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61" t="s">
        <v>288</v>
      </c>
      <c r="H23" s="162" t="s">
        <v>288</v>
      </c>
      <c r="I23" s="163" t="s">
        <v>288</v>
      </c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 t="s">
        <v>289</v>
      </c>
      <c r="G25" s="114" t="s">
        <v>290</v>
      </c>
      <c r="H25" s="115" t="s">
        <v>290</v>
      </c>
      <c r="I25" s="116" t="s">
        <v>290</v>
      </c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 t="s">
        <v>291</v>
      </c>
      <c r="H26" s="97" t="s">
        <v>291</v>
      </c>
      <c r="I26" s="98" t="s">
        <v>291</v>
      </c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39" priority="1" operator="lessThan">
      <formula>0</formula>
    </cfRule>
    <cfRule type="cellIs" dxfId="138" priority="2" operator="greaterThan">
      <formula>0</formula>
    </cfRule>
  </conditionalFormatting>
  <hyperlinks>
    <hyperlink ref="B1" location="INDEX!A1" display="INDEX" xr:uid="{9F96498E-C64B-4978-BFD2-A99287C0A3B4}"/>
  </hyperlinks>
  <pageMargins left="0.45" right="0.45" top="0.5" bottom="0.5" header="0.3" footer="0.3"/>
  <pageSetup scale="4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14FE-47BE-4327-88C9-054D3E59F42D}">
  <sheetPr>
    <pageSetUpPr autoPageBreaks="0" fitToPage="1"/>
  </sheetPr>
  <dimension ref="B1:W41"/>
  <sheetViews>
    <sheetView showGridLines="0" zoomScale="80" zoomScaleNormal="80" zoomScaleSheetLayoutView="70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292</v>
      </c>
      <c r="G9" s="114" t="s">
        <v>293</v>
      </c>
      <c r="H9" s="115" t="s">
        <v>293</v>
      </c>
      <c r="I9" s="116" t="s">
        <v>293</v>
      </c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294</v>
      </c>
      <c r="H11" s="97" t="s">
        <v>294</v>
      </c>
      <c r="I11" s="98" t="s">
        <v>294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295</v>
      </c>
      <c r="H12" s="97" t="s">
        <v>295</v>
      </c>
      <c r="I12" s="98" t="s">
        <v>295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296</v>
      </c>
      <c r="H13" s="97" t="s">
        <v>296</v>
      </c>
      <c r="I13" s="98" t="s">
        <v>296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 t="s">
        <v>297</v>
      </c>
      <c r="H15" s="97" t="s">
        <v>297</v>
      </c>
      <c r="I15" s="98" t="s">
        <v>297</v>
      </c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 t="s">
        <v>298</v>
      </c>
      <c r="H19" s="97" t="s">
        <v>298</v>
      </c>
      <c r="I19" s="98" t="s">
        <v>298</v>
      </c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37" priority="1" operator="lessThan">
      <formula>0</formula>
    </cfRule>
    <cfRule type="cellIs" dxfId="136" priority="2" operator="greaterThan">
      <formula>0</formula>
    </cfRule>
  </conditionalFormatting>
  <hyperlinks>
    <hyperlink ref="B1" location="INDEX!A1" display="INDEX" xr:uid="{79C33FB5-D85D-498A-BCAB-E54A9064A9A2}"/>
  </hyperlinks>
  <pageMargins left="0.45" right="0.45" top="0.5" bottom="0.5" header="0.3" footer="0.3"/>
  <pageSetup scale="47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A2DA-3F3D-4687-A46E-D54254855468}">
  <sheetPr>
    <pageSetUpPr autoPageBreaks="0" fitToPage="1"/>
  </sheetPr>
  <dimension ref="B1:W41"/>
  <sheetViews>
    <sheetView showGridLines="0" zoomScale="80" zoomScaleNormal="80" zoomScaleSheetLayoutView="70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299</v>
      </c>
      <c r="G9" s="114" t="s">
        <v>300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35" priority="1" operator="lessThan">
      <formula>0</formula>
    </cfRule>
    <cfRule type="cellIs" dxfId="134" priority="2" operator="greaterThan">
      <formula>0</formula>
    </cfRule>
  </conditionalFormatting>
  <hyperlinks>
    <hyperlink ref="B1" location="INDEX!A1" display="INDEX" xr:uid="{ED4DD4AB-F56F-42C1-8A0E-CC64789DE8C6}"/>
  </hyperlinks>
  <pageMargins left="0.45" right="0.45" top="0.5" bottom="0.5" header="0.3" footer="0.3"/>
  <pageSetup scale="4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84D2-B85B-400F-9772-CC47DE0BEA9C}">
  <sheetPr>
    <pageSetUpPr autoPageBreaks="0" fitToPage="1"/>
  </sheetPr>
  <dimension ref="B1:W41"/>
  <sheetViews>
    <sheetView showGridLines="0" zoomScale="80" zoomScaleNormal="80" zoomScaleSheetLayoutView="70" workbookViewId="0">
      <selection activeCell="H6" sqref="H6"/>
    </sheetView>
  </sheetViews>
  <sheetFormatPr defaultRowHeight="15"/>
  <cols>
    <col min="1" max="1" width="1.28515625" customWidth="1"/>
    <col min="2" max="2" width="11.7109375" customWidth="1"/>
    <col min="3" max="4" width="12" customWidth="1"/>
    <col min="5" max="5" width="12.7109375" customWidth="1"/>
    <col min="6" max="6" width="10.28515625" customWidth="1"/>
    <col min="7" max="7" width="17.85546875" customWidth="1"/>
    <col min="8" max="8" width="23.42578125" customWidth="1"/>
    <col min="9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301</v>
      </c>
      <c r="G9" s="114" t="s">
        <v>302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33" priority="1" operator="lessThan">
      <formula>0</formula>
    </cfRule>
    <cfRule type="cellIs" dxfId="132" priority="2" operator="greaterThan">
      <formula>0</formula>
    </cfRule>
  </conditionalFormatting>
  <hyperlinks>
    <hyperlink ref="B1" location="INDEX!A1" display="INDEX" xr:uid="{861022B6-6B79-4D03-AD33-E3546D7860F7}"/>
  </hyperlinks>
  <pageMargins left="0.45" right="0.45" top="0.5" bottom="0.5" header="0.3" footer="0.3"/>
  <pageSetup scale="4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F2AA-FD48-4352-A5CD-5BE6629C465D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303</v>
      </c>
      <c r="G9" s="114" t="s">
        <v>304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31" priority="1" operator="lessThan">
      <formula>0</formula>
    </cfRule>
    <cfRule type="cellIs" dxfId="130" priority="2" operator="greaterThan">
      <formula>0</formula>
    </cfRule>
  </conditionalFormatting>
  <hyperlinks>
    <hyperlink ref="B1" location="INDEX!A1" display="INDEX" xr:uid="{8AF90F1A-5BEC-44BC-A25A-810D58D8A42B}"/>
  </hyperlinks>
  <pageMargins left="0.45" right="0.45" top="0.5" bottom="0.5" header="0.3" footer="0.3"/>
  <pageSetup scale="4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BCFB-1D23-4560-91C2-BC009A34EFAF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305</v>
      </c>
      <c r="G9" s="114" t="s">
        <v>306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307</v>
      </c>
      <c r="H11" s="97" t="s">
        <v>307</v>
      </c>
      <c r="I11" s="98" t="s">
        <v>307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308</v>
      </c>
      <c r="H13" s="97" t="s">
        <v>308</v>
      </c>
      <c r="I13" s="98" t="s">
        <v>308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 t="s">
        <v>309</v>
      </c>
      <c r="H14" s="97" t="s">
        <v>309</v>
      </c>
      <c r="I14" s="98" t="s">
        <v>309</v>
      </c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 t="s">
        <v>310</v>
      </c>
      <c r="H15" s="97" t="s">
        <v>310</v>
      </c>
      <c r="I15" s="98" t="s">
        <v>310</v>
      </c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 t="s">
        <v>311</v>
      </c>
      <c r="H16" s="97" t="s">
        <v>311</v>
      </c>
      <c r="I16" s="98" t="s">
        <v>311</v>
      </c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 t="s">
        <v>312</v>
      </c>
      <c r="H17" s="97" t="s">
        <v>312</v>
      </c>
      <c r="I17" s="98" t="s">
        <v>312</v>
      </c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29" priority="1" operator="lessThan">
      <formula>0</formula>
    </cfRule>
    <cfRule type="cellIs" dxfId="128" priority="2" operator="greaterThan">
      <formula>0</formula>
    </cfRule>
  </conditionalFormatting>
  <hyperlinks>
    <hyperlink ref="B1" location="INDEX!A1" display="INDEX" xr:uid="{CD097F23-6137-41DC-8060-A3E252B19F1C}"/>
  </hyperlinks>
  <pageMargins left="0.45" right="0.45" top="0.5" bottom="0.5" header="0.3" footer="0.3"/>
  <pageSetup scale="4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D242-A1F0-48E2-90AF-BFD0AD69D542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313</v>
      </c>
      <c r="G9" s="114" t="s">
        <v>314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315</v>
      </c>
      <c r="H11" s="97" t="s">
        <v>315</v>
      </c>
      <c r="I11" s="98" t="s">
        <v>315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316</v>
      </c>
      <c r="H12" s="97" t="s">
        <v>316</v>
      </c>
      <c r="I12" s="98" t="s">
        <v>316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317</v>
      </c>
      <c r="H13" s="97" t="s">
        <v>317</v>
      </c>
      <c r="I13" s="98" t="s">
        <v>317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 t="s">
        <v>318</v>
      </c>
      <c r="H14" s="97" t="s">
        <v>318</v>
      </c>
      <c r="I14" s="98" t="s">
        <v>318</v>
      </c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 t="s">
        <v>319</v>
      </c>
      <c r="H16" s="97" t="s">
        <v>319</v>
      </c>
      <c r="I16" s="98" t="s">
        <v>319</v>
      </c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 t="s">
        <v>320</v>
      </c>
      <c r="H17" s="97" t="s">
        <v>320</v>
      </c>
      <c r="I17" s="98" t="s">
        <v>320</v>
      </c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 t="s">
        <v>321</v>
      </c>
      <c r="H18" s="97" t="s">
        <v>321</v>
      </c>
      <c r="I18" s="98" t="s">
        <v>321</v>
      </c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 t="s">
        <v>322</v>
      </c>
      <c r="H19" s="97" t="s">
        <v>322</v>
      </c>
      <c r="I19" s="98" t="s">
        <v>322</v>
      </c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 t="s">
        <v>323</v>
      </c>
      <c r="H20" s="97" t="s">
        <v>323</v>
      </c>
      <c r="I20" s="98" t="s">
        <v>323</v>
      </c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 t="s">
        <v>324</v>
      </c>
      <c r="H21" s="97" t="s">
        <v>324</v>
      </c>
      <c r="I21" s="98" t="s">
        <v>324</v>
      </c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 t="s">
        <v>325</v>
      </c>
      <c r="H22" s="97" t="s">
        <v>325</v>
      </c>
      <c r="I22" s="98" t="s">
        <v>325</v>
      </c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 t="s">
        <v>326</v>
      </c>
      <c r="H23" s="97" t="s">
        <v>326</v>
      </c>
      <c r="I23" s="98" t="s">
        <v>326</v>
      </c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 t="s">
        <v>327</v>
      </c>
      <c r="H24" s="97" t="s">
        <v>327</v>
      </c>
      <c r="I24" s="98" t="s">
        <v>327</v>
      </c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 t="s">
        <v>328</v>
      </c>
      <c r="H25" s="97" t="s">
        <v>328</v>
      </c>
      <c r="I25" s="98" t="s">
        <v>328</v>
      </c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 t="s">
        <v>329</v>
      </c>
      <c r="H28" s="97" t="s">
        <v>329</v>
      </c>
      <c r="I28" s="98" t="s">
        <v>329</v>
      </c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27" priority="1" operator="lessThan">
      <formula>0</formula>
    </cfRule>
    <cfRule type="cellIs" dxfId="126" priority="2" operator="greaterThan">
      <formula>0</formula>
    </cfRule>
  </conditionalFormatting>
  <hyperlinks>
    <hyperlink ref="B1" location="INDEX!A1" display="INDEX" xr:uid="{56303DA7-4514-47B5-B937-747F2E296500}"/>
  </hyperlinks>
  <pageMargins left="0.45" right="0.45" top="0.5" bottom="0.5" header="0.3" footer="0.3"/>
  <pageSetup scale="4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33C8-E39C-49F7-813E-8E9AFA1F1CC4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330</v>
      </c>
      <c r="G9" s="114" t="s">
        <v>331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25" priority="1" operator="lessThan">
      <formula>0</formula>
    </cfRule>
    <cfRule type="cellIs" dxfId="124" priority="2" operator="greaterThan">
      <formula>0</formula>
    </cfRule>
  </conditionalFormatting>
  <hyperlinks>
    <hyperlink ref="B1" location="INDEX!A1" display="INDEX" xr:uid="{40061A3E-2B0A-431F-8171-D16877B7A8F0}"/>
  </hyperlinks>
  <pageMargins left="0.45" right="0.45" top="0.5" bottom="0.5" header="0.3" footer="0.3"/>
  <pageSetup scale="4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A1D3-3007-430E-B39D-64EB4A63BDED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332</v>
      </c>
      <c r="G9" s="114" t="s">
        <v>333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23" priority="1" operator="lessThan">
      <formula>0</formula>
    </cfRule>
    <cfRule type="cellIs" dxfId="122" priority="2" operator="greaterThan">
      <formula>0</formula>
    </cfRule>
  </conditionalFormatting>
  <hyperlinks>
    <hyperlink ref="B1" location="INDEX!A1" display="INDEX" xr:uid="{90E67582-3F5D-4FCD-9C3F-71BC6FE154BC}"/>
  </hyperlinks>
  <pageMargins left="0.45" right="0.45" top="0.5" bottom="0.5" header="0.3" footer="0.3"/>
  <pageSetup scale="48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9F16-67F0-4F91-89A9-0351BB37E4F3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334</v>
      </c>
      <c r="G9" s="114" t="s">
        <v>335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21" priority="1" operator="lessThan">
      <formula>0</formula>
    </cfRule>
    <cfRule type="cellIs" dxfId="120" priority="2" operator="greaterThan">
      <formula>0</formula>
    </cfRule>
  </conditionalFormatting>
  <hyperlinks>
    <hyperlink ref="B1" location="INDEX!A1" display="INDEX" xr:uid="{B501A6D9-2B06-46C8-A77B-DE31239A2549}"/>
  </hyperlinks>
  <pageMargins left="0.45" right="0.45" top="0.5" bottom="0.5" header="0.3" footer="0.3"/>
  <pageSetup scale="4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50BF-9AEA-4409-ACAC-2762168E1E75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336</v>
      </c>
      <c r="G9" s="114" t="s">
        <v>337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 t="s">
        <v>338</v>
      </c>
      <c r="G11" s="114" t="s">
        <v>339</v>
      </c>
      <c r="H11" s="115"/>
      <c r="I11" s="116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 t="s">
        <v>340</v>
      </c>
      <c r="G13" s="114" t="s">
        <v>341</v>
      </c>
      <c r="H13" s="115"/>
      <c r="I13" s="116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19" priority="1" operator="lessThan">
      <formula>0</formula>
    </cfRule>
    <cfRule type="cellIs" dxfId="118" priority="2" operator="greaterThan">
      <formula>0</formula>
    </cfRule>
  </conditionalFormatting>
  <hyperlinks>
    <hyperlink ref="B1" location="INDEX!A1" display="INDEX" xr:uid="{1F224B76-1EC0-4999-9B5A-854B2EDC08D0}"/>
  </hyperlinks>
  <pageMargins left="0.45" right="0.45" top="0.5" bottom="0.5" header="0.3" footer="0.3"/>
  <pageSetup scale="48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F38D-3DF0-4450-84D6-486BEBC2D398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342</v>
      </c>
      <c r="G9" s="114" t="s">
        <v>343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52"/>
      <c r="H10" s="153"/>
      <c r="I10" s="154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52"/>
      <c r="H11" s="153"/>
      <c r="I11" s="154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52"/>
      <c r="H12" s="153"/>
      <c r="I12" s="154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52"/>
      <c r="H13" s="153"/>
      <c r="I13" s="154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52"/>
      <c r="H14" s="153"/>
      <c r="I14" s="154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52"/>
      <c r="H15" s="153"/>
      <c r="I15" s="154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52"/>
      <c r="H16" s="153"/>
      <c r="I16" s="154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52"/>
      <c r="H17" s="153"/>
      <c r="I17" s="154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52"/>
      <c r="H18" s="153"/>
      <c r="I18" s="154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52"/>
      <c r="H19" s="153"/>
      <c r="I19" s="154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52"/>
      <c r="H20" s="153"/>
      <c r="I20" s="154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52"/>
      <c r="H21" s="153"/>
      <c r="I21" s="154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52"/>
      <c r="H22" s="153"/>
      <c r="I22" s="154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52"/>
      <c r="H23" s="153"/>
      <c r="I23" s="154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52"/>
      <c r="H24" s="153"/>
      <c r="I24" s="154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52"/>
      <c r="H25" s="153"/>
      <c r="I25" s="154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52"/>
      <c r="H26" s="153"/>
      <c r="I26" s="154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52"/>
      <c r="H27" s="153"/>
      <c r="I27" s="154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52"/>
      <c r="H28" s="153"/>
      <c r="I28" s="154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52"/>
      <c r="H29" s="153"/>
      <c r="I29" s="154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52"/>
      <c r="H30" s="153"/>
      <c r="I30" s="154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55"/>
      <c r="H31" s="156"/>
      <c r="I31" s="157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17" priority="1" operator="lessThan">
      <formula>0</formula>
    </cfRule>
    <cfRule type="cellIs" dxfId="116" priority="2" operator="greaterThan">
      <formula>0</formula>
    </cfRule>
  </conditionalFormatting>
  <hyperlinks>
    <hyperlink ref="B1" location="INDEX!A1" display="INDEX" xr:uid="{E3729058-9383-42F3-ADAB-4E60A5501FCA}"/>
  </hyperlinks>
  <pageMargins left="0.45" right="0.45" top="0.5" bottom="0.5" header="0.3" footer="0.3"/>
  <pageSetup scale="48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01F6-A6F1-48DB-AF49-05FB3CC58256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344</v>
      </c>
      <c r="G9" s="114" t="s">
        <v>345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52"/>
      <c r="H10" s="153"/>
      <c r="I10" s="154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52"/>
      <c r="H11" s="153"/>
      <c r="I11" s="154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52"/>
      <c r="H12" s="153"/>
      <c r="I12" s="154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52"/>
      <c r="H13" s="153"/>
      <c r="I13" s="154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52"/>
      <c r="H14" s="153"/>
      <c r="I14" s="154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52"/>
      <c r="H15" s="153"/>
      <c r="I15" s="154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52"/>
      <c r="H16" s="153"/>
      <c r="I16" s="154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52"/>
      <c r="H17" s="153"/>
      <c r="I17" s="154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52"/>
      <c r="H18" s="153"/>
      <c r="I18" s="154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52"/>
      <c r="H19" s="153"/>
      <c r="I19" s="154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52"/>
      <c r="H20" s="153"/>
      <c r="I20" s="154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52"/>
      <c r="H21" s="153"/>
      <c r="I21" s="154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52"/>
      <c r="H22" s="153"/>
      <c r="I22" s="154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52"/>
      <c r="H23" s="153"/>
      <c r="I23" s="154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52"/>
      <c r="H24" s="153"/>
      <c r="I24" s="154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52"/>
      <c r="H25" s="153"/>
      <c r="I25" s="154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52"/>
      <c r="H26" s="153"/>
      <c r="I26" s="154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52"/>
      <c r="H27" s="153"/>
      <c r="I27" s="154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52"/>
      <c r="H28" s="153"/>
      <c r="I28" s="154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52"/>
      <c r="H29" s="153"/>
      <c r="I29" s="154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52"/>
      <c r="H30" s="153"/>
      <c r="I30" s="154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55"/>
      <c r="H31" s="156"/>
      <c r="I31" s="157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15" priority="1" operator="lessThan">
      <formula>0</formula>
    </cfRule>
    <cfRule type="cellIs" dxfId="114" priority="2" operator="greaterThan">
      <formula>0</formula>
    </cfRule>
  </conditionalFormatting>
  <hyperlinks>
    <hyperlink ref="B1" location="INDEX!A1" display="INDEX" xr:uid="{2A9F8667-815A-4076-9A10-4698F947535B}"/>
  </hyperlinks>
  <pageMargins left="0.45" right="0.45" top="0.5" bottom="0.5" header="0.3" footer="0.3"/>
  <pageSetup scale="48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878F-758D-41F1-BE9C-F5C9DB90E0FA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346</v>
      </c>
      <c r="G9" s="114" t="s">
        <v>347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52"/>
      <c r="H10" s="153"/>
      <c r="I10" s="154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52"/>
      <c r="H11" s="153"/>
      <c r="I11" s="154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52"/>
      <c r="H12" s="153"/>
      <c r="I12" s="154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52"/>
      <c r="H13" s="153"/>
      <c r="I13" s="154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52"/>
      <c r="H14" s="153"/>
      <c r="I14" s="154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52"/>
      <c r="H15" s="153"/>
      <c r="I15" s="154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52"/>
      <c r="H16" s="153"/>
      <c r="I16" s="154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52"/>
      <c r="H17" s="153"/>
      <c r="I17" s="154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52"/>
      <c r="H18" s="153"/>
      <c r="I18" s="154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52"/>
      <c r="H19" s="153"/>
      <c r="I19" s="154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52"/>
      <c r="H20" s="153"/>
      <c r="I20" s="154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52"/>
      <c r="H21" s="153"/>
      <c r="I21" s="154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52"/>
      <c r="H22" s="153"/>
      <c r="I22" s="154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52"/>
      <c r="H23" s="153"/>
      <c r="I23" s="154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52"/>
      <c r="H24" s="153"/>
      <c r="I24" s="154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52"/>
      <c r="H25" s="153"/>
      <c r="I25" s="154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52"/>
      <c r="H26" s="153"/>
      <c r="I26" s="154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52"/>
      <c r="H27" s="153"/>
      <c r="I27" s="154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52"/>
      <c r="H28" s="153"/>
      <c r="I28" s="154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52"/>
      <c r="H29" s="153"/>
      <c r="I29" s="154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52"/>
      <c r="H30" s="153"/>
      <c r="I30" s="154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55"/>
      <c r="H31" s="156"/>
      <c r="I31" s="157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13" priority="1" operator="lessThan">
      <formula>0</formula>
    </cfRule>
    <cfRule type="cellIs" dxfId="112" priority="2" operator="greaterThan">
      <formula>0</formula>
    </cfRule>
  </conditionalFormatting>
  <hyperlinks>
    <hyperlink ref="B1" location="INDEX!A1" display="INDEX" xr:uid="{AF97F1C8-4603-43DE-99C5-03F9833EE6AA}"/>
  </hyperlinks>
  <pageMargins left="0.45" right="0.45" top="0.5" bottom="0.5" header="0.3" footer="0.3"/>
  <pageSetup scale="48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8422-0DD7-4529-BE59-1C439D9992E7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348</v>
      </c>
      <c r="G9" s="114" t="s">
        <v>349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350</v>
      </c>
      <c r="H11" s="97" t="s">
        <v>350</v>
      </c>
      <c r="I11" s="98" t="s">
        <v>350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351</v>
      </c>
      <c r="H12" s="97" t="s">
        <v>351</v>
      </c>
      <c r="I12" s="98" t="s">
        <v>351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 t="s">
        <v>352</v>
      </c>
      <c r="G14" s="114" t="s">
        <v>353</v>
      </c>
      <c r="H14" s="115"/>
      <c r="I14" s="116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 t="s">
        <v>354</v>
      </c>
      <c r="G18" s="114" t="s">
        <v>355</v>
      </c>
      <c r="H18" s="115"/>
      <c r="I18" s="116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 t="s">
        <v>356</v>
      </c>
      <c r="G22" s="114" t="s">
        <v>357</v>
      </c>
      <c r="H22" s="115"/>
      <c r="I22" s="116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11" priority="1" operator="lessThan">
      <formula>0</formula>
    </cfRule>
    <cfRule type="cellIs" dxfId="110" priority="2" operator="greaterThan">
      <formula>0</formula>
    </cfRule>
  </conditionalFormatting>
  <hyperlinks>
    <hyperlink ref="B1" location="INDEX!A1" display="INDEX" xr:uid="{3361D58E-215F-42B7-A502-6DDCD166BAA3}"/>
  </hyperlinks>
  <pageMargins left="0.45" right="0.45" top="0.5" bottom="0.5" header="0.3" footer="0.3"/>
  <pageSetup scale="48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86CC-1A6A-4900-A71E-A22641A3F6F2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358</v>
      </c>
      <c r="G9" s="114" t="s">
        <v>359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09" priority="1" operator="lessThan">
      <formula>0</formula>
    </cfRule>
    <cfRule type="cellIs" dxfId="108" priority="2" operator="greaterThan">
      <formula>0</formula>
    </cfRule>
  </conditionalFormatting>
  <hyperlinks>
    <hyperlink ref="B1" location="INDEX!A1" display="INDEX" xr:uid="{5AD30711-4EFA-40D4-9118-0FCD67865B81}"/>
  </hyperlinks>
  <pageMargins left="0.45" right="0.45" top="0.5" bottom="0.5" header="0.3" footer="0.3"/>
  <pageSetup scale="48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C9A7-720F-4956-B99F-A64008FBD9C4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360</v>
      </c>
      <c r="G9" s="114" t="s">
        <v>361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07" priority="1" operator="lessThan">
      <formula>0</formula>
    </cfRule>
    <cfRule type="cellIs" dxfId="106" priority="2" operator="greaterThan">
      <formula>0</formula>
    </cfRule>
  </conditionalFormatting>
  <hyperlinks>
    <hyperlink ref="B1" location="INDEX!A1" display="INDEX" xr:uid="{7AAC7B83-8C26-4AC3-9B52-4E038E6B3CAD}"/>
  </hyperlinks>
  <pageMargins left="0.45" right="0.45" top="0.5" bottom="0.5" header="0.3" footer="0.3"/>
  <pageSetup scale="4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1216-3288-4B4A-BB57-F858D82982E4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362</v>
      </c>
      <c r="G9" s="114" t="s">
        <v>363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364</v>
      </c>
      <c r="H11" s="97" t="s">
        <v>364</v>
      </c>
      <c r="I11" s="98" t="s">
        <v>364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365</v>
      </c>
      <c r="H12" s="97" t="s">
        <v>365</v>
      </c>
      <c r="I12" s="98" t="s">
        <v>365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 t="s">
        <v>366</v>
      </c>
      <c r="H15" s="97" t="s">
        <v>366</v>
      </c>
      <c r="I15" s="98" t="s">
        <v>366</v>
      </c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 t="s">
        <v>367</v>
      </c>
      <c r="H18" s="97" t="s">
        <v>367</v>
      </c>
      <c r="I18" s="98" t="s">
        <v>367</v>
      </c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 t="s">
        <v>368</v>
      </c>
      <c r="H19" s="97" t="s">
        <v>368</v>
      </c>
      <c r="I19" s="98" t="s">
        <v>368</v>
      </c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 t="s">
        <v>369</v>
      </c>
      <c r="H20" s="97" t="s">
        <v>369</v>
      </c>
      <c r="I20" s="98" t="s">
        <v>369</v>
      </c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 t="s">
        <v>370</v>
      </c>
      <c r="H22" s="97" t="s">
        <v>370</v>
      </c>
      <c r="I22" s="98" t="s">
        <v>370</v>
      </c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 t="s">
        <v>371</v>
      </c>
      <c r="H26" s="97" t="s">
        <v>371</v>
      </c>
      <c r="I26" s="98" t="s">
        <v>371</v>
      </c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55"/>
      <c r="H31" s="156"/>
      <c r="I31" s="157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05" priority="1" operator="lessThan">
      <formula>0</formula>
    </cfRule>
    <cfRule type="cellIs" dxfId="104" priority="2" operator="greaterThan">
      <formula>0</formula>
    </cfRule>
  </conditionalFormatting>
  <hyperlinks>
    <hyperlink ref="B1" location="INDEX!A1" display="INDEX" xr:uid="{E63E9982-6390-4091-B4B5-A3A797AEE919}"/>
  </hyperlinks>
  <pageMargins left="0.45" right="0.45" top="0.5" bottom="0.5" header="0.3" footer="0.3"/>
  <pageSetup scale="48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5FC6-26DA-457A-A7BB-439630F9CBC0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372</v>
      </c>
      <c r="G9" s="114" t="s">
        <v>373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03" priority="1" operator="lessThan">
      <formula>0</formula>
    </cfRule>
    <cfRule type="cellIs" dxfId="102" priority="2" operator="greaterThan">
      <formula>0</formula>
    </cfRule>
  </conditionalFormatting>
  <hyperlinks>
    <hyperlink ref="B1" location="INDEX!A1" display="INDEX" xr:uid="{BFA2299B-BB60-429D-A7B0-D371B57E51A7}"/>
  </hyperlinks>
  <pageMargins left="0.45" right="0.45" top="0.5" bottom="0.5" header="0.3" footer="0.3"/>
  <pageSetup scale="48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5173-8597-4174-A207-9A680404F21A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374</v>
      </c>
      <c r="G9" s="114" t="s">
        <v>375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376</v>
      </c>
      <c r="H11" s="97" t="s">
        <v>376</v>
      </c>
      <c r="I11" s="98" t="s">
        <v>376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265</v>
      </c>
      <c r="H12" s="97" t="s">
        <v>265</v>
      </c>
      <c r="I12" s="98" t="s">
        <v>265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377</v>
      </c>
      <c r="H13" s="97" t="s">
        <v>377</v>
      </c>
      <c r="I13" s="98" t="s">
        <v>377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01" priority="1" operator="lessThan">
      <formula>0</formula>
    </cfRule>
    <cfRule type="cellIs" dxfId="100" priority="2" operator="greaterThan">
      <formula>0</formula>
    </cfRule>
  </conditionalFormatting>
  <hyperlinks>
    <hyperlink ref="B1" location="INDEX!A1" display="INDEX" xr:uid="{521BFB47-48CA-4203-9B42-5B0478EC3F84}"/>
  </hyperlinks>
  <pageMargins left="0.45" right="0.45" top="0.5" bottom="0.5" header="0.3" footer="0.3"/>
  <pageSetup scale="48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AC22-D020-4FCF-983B-99C0FEE83C1B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378</v>
      </c>
      <c r="G9" s="114" t="s">
        <v>379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 t="s">
        <v>380</v>
      </c>
      <c r="H11" s="97" t="s">
        <v>380</v>
      </c>
      <c r="I11" s="98" t="s">
        <v>380</v>
      </c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 t="s">
        <v>381</v>
      </c>
      <c r="H12" s="97" t="s">
        <v>381</v>
      </c>
      <c r="I12" s="98" t="s">
        <v>381</v>
      </c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 t="s">
        <v>382</v>
      </c>
      <c r="H13" s="97" t="s">
        <v>382</v>
      </c>
      <c r="I13" s="98" t="s">
        <v>382</v>
      </c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99" priority="1" operator="lessThan">
      <formula>0</formula>
    </cfRule>
    <cfRule type="cellIs" dxfId="98" priority="2" operator="greaterThan">
      <formula>0</formula>
    </cfRule>
  </conditionalFormatting>
  <hyperlinks>
    <hyperlink ref="B1" location="INDEX!A1" display="INDEX" xr:uid="{E6A9C328-5C32-4CED-9252-795D4FEEB0E8}"/>
  </hyperlinks>
  <pageMargins left="0.45" right="0.45" top="0.5" bottom="0.5" header="0.3" footer="0.3"/>
  <pageSetup scale="48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8A16-9672-4FAC-8895-295636C6A565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383</v>
      </c>
      <c r="G9" s="114" t="s">
        <v>384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97" priority="1" operator="lessThan">
      <formula>0</formula>
    </cfRule>
    <cfRule type="cellIs" dxfId="96" priority="2" operator="greaterThan">
      <formula>0</formula>
    </cfRule>
  </conditionalFormatting>
  <hyperlinks>
    <hyperlink ref="B1" location="INDEX!A1" display="INDEX" xr:uid="{4B7A2F31-BD9B-4F14-A98F-9E19EDC5834A}"/>
  </hyperlinks>
  <pageMargins left="0.45" right="0.45" top="0.5" bottom="0.5" header="0.3" footer="0.3"/>
  <pageSetup scale="48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6F07-368E-4D76-8175-18560E953E7A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385</v>
      </c>
      <c r="G9" s="114" t="s">
        <v>386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95" priority="1" operator="lessThan">
      <formula>0</formula>
    </cfRule>
    <cfRule type="cellIs" dxfId="94" priority="2" operator="greaterThan">
      <formula>0</formula>
    </cfRule>
  </conditionalFormatting>
  <hyperlinks>
    <hyperlink ref="B1" location="INDEX!A1" display="INDEX" xr:uid="{6131E71A-E645-4EAB-9183-E8383FA1E8EC}"/>
  </hyperlinks>
  <pageMargins left="0.45" right="0.45" top="0.5" bottom="0.5" header="0.3" footer="0.3"/>
  <pageSetup scale="48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F178-45B7-40DB-97D8-1CDDAAB7755A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387</v>
      </c>
      <c r="G9" s="114" t="s">
        <v>388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52"/>
      <c r="H10" s="153"/>
      <c r="I10" s="154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52"/>
      <c r="H11" s="153"/>
      <c r="I11" s="154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52"/>
      <c r="H12" s="153"/>
      <c r="I12" s="154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52"/>
      <c r="H13" s="153"/>
      <c r="I13" s="154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52"/>
      <c r="H14" s="153"/>
      <c r="I14" s="154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52"/>
      <c r="H15" s="153"/>
      <c r="I15" s="154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52"/>
      <c r="H16" s="153"/>
      <c r="I16" s="154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52"/>
      <c r="H17" s="153"/>
      <c r="I17" s="154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52"/>
      <c r="H18" s="153"/>
      <c r="I18" s="154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52"/>
      <c r="H19" s="153"/>
      <c r="I19" s="154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52"/>
      <c r="H20" s="153"/>
      <c r="I20" s="154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52"/>
      <c r="H21" s="153"/>
      <c r="I21" s="154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52"/>
      <c r="H22" s="153"/>
      <c r="I22" s="154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52"/>
      <c r="H23" s="153"/>
      <c r="I23" s="154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52"/>
      <c r="H24" s="153"/>
      <c r="I24" s="154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52"/>
      <c r="H25" s="153"/>
      <c r="I25" s="154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52"/>
      <c r="H26" s="153"/>
      <c r="I26" s="154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52"/>
      <c r="H27" s="153"/>
      <c r="I27" s="154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52"/>
      <c r="H28" s="153"/>
      <c r="I28" s="154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52"/>
      <c r="H29" s="153"/>
      <c r="I29" s="154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52"/>
      <c r="H30" s="153"/>
      <c r="I30" s="154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55"/>
      <c r="H31" s="156"/>
      <c r="I31" s="157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93" priority="1" operator="lessThan">
      <formula>0</formula>
    </cfRule>
    <cfRule type="cellIs" dxfId="92" priority="2" operator="greaterThan">
      <formula>0</formula>
    </cfRule>
  </conditionalFormatting>
  <hyperlinks>
    <hyperlink ref="B1" location="INDEX!A1" display="INDEX" xr:uid="{28F04BE2-9B8F-4F69-BFAF-602A5EBF7BBC}"/>
  </hyperlinks>
  <pageMargins left="0.45" right="0.45" top="0.5" bottom="0.5" header="0.3" footer="0.3"/>
  <pageSetup scale="48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1019-A0F8-4235-883A-9E456A18BA06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389</v>
      </c>
      <c r="G9" s="114" t="s">
        <v>390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91" priority="1" operator="lessThan">
      <formula>0</formula>
    </cfRule>
    <cfRule type="cellIs" dxfId="90" priority="2" operator="greaterThan">
      <formula>0</formula>
    </cfRule>
  </conditionalFormatting>
  <hyperlinks>
    <hyperlink ref="B1" location="INDEX!A1" display="INDEX" xr:uid="{2F8894D0-ACB0-4797-BB76-39C24254B3EF}"/>
  </hyperlinks>
  <pageMargins left="0.45" right="0.45" top="0.5" bottom="0.5" header="0.3" footer="0.3"/>
  <pageSetup scale="48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96B3-88ED-4838-A331-80F60D22DBFC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391</v>
      </c>
      <c r="G9" s="114" t="s">
        <v>392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 ht="15" customHeight="1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 t="s">
        <v>393</v>
      </c>
      <c r="G15" s="114" t="s">
        <v>394</v>
      </c>
      <c r="H15" s="115"/>
      <c r="I15" s="116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 t="s">
        <v>395</v>
      </c>
      <c r="G20" s="114" t="s">
        <v>396</v>
      </c>
      <c r="H20" s="115"/>
      <c r="I20" s="116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89" priority="1" operator="lessThan">
      <formula>0</formula>
    </cfRule>
    <cfRule type="cellIs" dxfId="88" priority="2" operator="greaterThan">
      <formula>0</formula>
    </cfRule>
  </conditionalFormatting>
  <hyperlinks>
    <hyperlink ref="B1" location="INDEX!A1" display="INDEX" xr:uid="{2A31A78E-9A5D-41E3-9E2F-E15C67BD37CF}"/>
  </hyperlinks>
  <pageMargins left="0.45" right="0.45" top="0.5" bottom="0.5" header="0.3" footer="0.3"/>
  <pageSetup scale="48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A08E-C137-4256-B1E2-972DA8B3DEDF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397</v>
      </c>
      <c r="G9" s="114" t="s">
        <v>398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V6:W6"/>
    <mergeCell ref="G36:I36"/>
    <mergeCell ref="G37:I37"/>
    <mergeCell ref="G30:I30"/>
    <mergeCell ref="G31:I31"/>
    <mergeCell ref="G32:I32"/>
    <mergeCell ref="G33:I33"/>
    <mergeCell ref="G34:I34"/>
    <mergeCell ref="G35:I35"/>
    <mergeCell ref="G29:I29"/>
    <mergeCell ref="G18:I18"/>
    <mergeCell ref="G19:I19"/>
    <mergeCell ref="G20:I20"/>
    <mergeCell ref="G21:I21"/>
    <mergeCell ref="G23:I23"/>
    <mergeCell ref="G25:I25"/>
    <mergeCell ref="G26:I26"/>
    <mergeCell ref="R6:S6"/>
    <mergeCell ref="G27:I27"/>
    <mergeCell ref="T6:U6"/>
    <mergeCell ref="G28:I28"/>
    <mergeCell ref="G17:I17"/>
    <mergeCell ref="T7:U7"/>
    <mergeCell ref="G12:I12"/>
    <mergeCell ref="G13:I13"/>
    <mergeCell ref="G14:I14"/>
    <mergeCell ref="G15:I15"/>
    <mergeCell ref="G16:I16"/>
    <mergeCell ref="G22:I22"/>
    <mergeCell ref="G24:I24"/>
    <mergeCell ref="V7:W7"/>
    <mergeCell ref="G8:I8"/>
    <mergeCell ref="G9:I9"/>
    <mergeCell ref="G10:I10"/>
    <mergeCell ref="G11:I11"/>
    <mergeCell ref="R7:S7"/>
    <mergeCell ref="T5:U5"/>
    <mergeCell ref="V5:W5"/>
    <mergeCell ref="B7:D7"/>
    <mergeCell ref="J7:K7"/>
    <mergeCell ref="L7:M7"/>
    <mergeCell ref="N7:O7"/>
    <mergeCell ref="P7:Q7"/>
    <mergeCell ref="J5:K5"/>
    <mergeCell ref="L5:M5"/>
    <mergeCell ref="N5:O5"/>
    <mergeCell ref="P5:Q5"/>
    <mergeCell ref="R5:S5"/>
    <mergeCell ref="J6:K6"/>
    <mergeCell ref="L6:M6"/>
    <mergeCell ref="N6:O6"/>
    <mergeCell ref="P6:Q6"/>
    <mergeCell ref="T3:U3"/>
    <mergeCell ref="V3:W3"/>
    <mergeCell ref="B4:C4"/>
    <mergeCell ref="D4:F4"/>
    <mergeCell ref="J4:K4"/>
    <mergeCell ref="L4:M4"/>
    <mergeCell ref="N4:O4"/>
    <mergeCell ref="P4:Q4"/>
    <mergeCell ref="R4:S4"/>
    <mergeCell ref="T4:U4"/>
    <mergeCell ref="V4:W4"/>
    <mergeCell ref="R2:S2"/>
    <mergeCell ref="T2:U2"/>
    <mergeCell ref="V2:W2"/>
    <mergeCell ref="B3:C3"/>
    <mergeCell ref="D3:F3"/>
    <mergeCell ref="J3:K3"/>
    <mergeCell ref="L3:M3"/>
    <mergeCell ref="N3:O3"/>
    <mergeCell ref="P3:Q3"/>
    <mergeCell ref="R3:S3"/>
    <mergeCell ref="B2:C2"/>
    <mergeCell ref="D2:F2"/>
    <mergeCell ref="J2:K2"/>
    <mergeCell ref="L2:M2"/>
    <mergeCell ref="N2:O2"/>
    <mergeCell ref="P2:Q2"/>
  </mergeCells>
  <conditionalFormatting sqref="M36:M37 O36:O37 Q36:Q37 S36:S37 U36:U37 W36:W37">
    <cfRule type="cellIs" dxfId="87" priority="1" operator="lessThan">
      <formula>0</formula>
    </cfRule>
    <cfRule type="cellIs" dxfId="86" priority="2" operator="greaterThan">
      <formula>0</formula>
    </cfRule>
  </conditionalFormatting>
  <hyperlinks>
    <hyperlink ref="B1" location="INDEX!A1" display="INDEX" xr:uid="{6E04A1E2-F9EA-43D3-97E5-D9BEDAC436CC}"/>
  </hyperlinks>
  <pageMargins left="0.45" right="0.45" top="0.5" bottom="0.5" header="0.3" footer="0.3"/>
  <pageSetup scale="48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F37E-FF39-429B-BED4-404737A7BA84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399</v>
      </c>
      <c r="G9" s="114" t="s">
        <v>400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 t="s">
        <v>401</v>
      </c>
      <c r="G16" s="114" t="s">
        <v>402</v>
      </c>
      <c r="H16" s="115"/>
      <c r="I16" s="116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85" priority="1" operator="lessThan">
      <formula>0</formula>
    </cfRule>
    <cfRule type="cellIs" dxfId="84" priority="2" operator="greaterThan">
      <formula>0</formula>
    </cfRule>
  </conditionalFormatting>
  <hyperlinks>
    <hyperlink ref="B1" location="INDEX!A1" display="INDEX" xr:uid="{AC1A03B4-0011-4C04-93B4-D1B35A813F5C}"/>
  </hyperlinks>
  <pageMargins left="0.45" right="0.45" top="0.5" bottom="0.5" header="0.3" footer="0.3"/>
  <pageSetup scale="48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2DCF-0CAB-437D-867E-8B69B51475FF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403</v>
      </c>
      <c r="G9" s="114" t="s">
        <v>404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83" priority="1" operator="lessThan">
      <formula>0</formula>
    </cfRule>
    <cfRule type="cellIs" dxfId="82" priority="2" operator="greaterThan">
      <formula>0</formula>
    </cfRule>
  </conditionalFormatting>
  <hyperlinks>
    <hyperlink ref="B1" location="INDEX!A1" display="INDEX" xr:uid="{D6D7EE70-622F-4C3D-9CD0-EF32F5FC5FDA}"/>
  </hyperlinks>
  <pageMargins left="0.45" right="0.45" top="0.5" bottom="0.5" header="0.3" footer="0.3"/>
  <pageSetup scale="48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1264-3752-48C3-9992-1EAC894A4B1C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405</v>
      </c>
      <c r="G9" s="114" t="s">
        <v>406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 t="s">
        <v>407</v>
      </c>
      <c r="G12" s="114" t="s">
        <v>408</v>
      </c>
      <c r="H12" s="115"/>
      <c r="I12" s="116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 t="s">
        <v>409</v>
      </c>
      <c r="G15" s="114" t="s">
        <v>410</v>
      </c>
      <c r="H15" s="115"/>
      <c r="I15" s="116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74"/>
      <c r="H17" s="175"/>
      <c r="I17" s="176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 ht="15" customHeight="1">
      <c r="B18" s="57"/>
      <c r="C18" s="57"/>
      <c r="D18" s="57"/>
      <c r="E18" s="52">
        <f t="shared" si="5"/>
        <v>0</v>
      </c>
      <c r="F18" s="38" t="s">
        <v>411</v>
      </c>
      <c r="G18" s="114" t="s">
        <v>412</v>
      </c>
      <c r="H18" s="115"/>
      <c r="I18" s="116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 ht="15" customHeight="1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81" priority="1" operator="lessThan">
      <formula>0</formula>
    </cfRule>
    <cfRule type="cellIs" dxfId="80" priority="2" operator="greaterThan">
      <formula>0</formula>
    </cfRule>
  </conditionalFormatting>
  <hyperlinks>
    <hyperlink ref="B1" location="INDEX!A1" display="INDEX" xr:uid="{22BB24B1-71D9-4CE8-8607-C9B5F25DEC3D}"/>
  </hyperlinks>
  <pageMargins left="0.45" right="0.45" top="0.5" bottom="0.5" header="0.3" footer="0.3"/>
  <pageSetup scale="48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5C95-982D-4D30-B68B-7DFDA75EC0D8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413</v>
      </c>
      <c r="G9" s="114" t="s">
        <v>414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79" priority="1" operator="lessThan">
      <formula>0</formula>
    </cfRule>
    <cfRule type="cellIs" dxfId="78" priority="2" operator="greaterThan">
      <formula>0</formula>
    </cfRule>
  </conditionalFormatting>
  <hyperlinks>
    <hyperlink ref="B1" location="INDEX!A1" display="INDEX" xr:uid="{31137CBE-D0FC-4617-A04F-2227707A3278}"/>
  </hyperlinks>
  <pageMargins left="0.45" right="0.45" top="0.5" bottom="0.5" header="0.3" footer="0.3"/>
  <pageSetup scale="48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8D7F-B1CF-4E73-AA19-915007791D5C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415</v>
      </c>
      <c r="G9" s="114" t="s">
        <v>416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77" priority="1" operator="lessThan">
      <formula>0</formula>
    </cfRule>
    <cfRule type="cellIs" dxfId="76" priority="2" operator="greaterThan">
      <formula>0</formula>
    </cfRule>
  </conditionalFormatting>
  <hyperlinks>
    <hyperlink ref="B1" location="INDEX!A1" display="INDEX" xr:uid="{06B1BE63-673F-459E-B7FC-4F90F363D418}"/>
  </hyperlinks>
  <pageMargins left="0.45" right="0.45" top="0.5" bottom="0.5" header="0.3" footer="0.3"/>
  <pageSetup scale="48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D3E4-3D9A-44A9-99C7-526D5589B8D9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417</v>
      </c>
      <c r="G9" s="114" t="s">
        <v>418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75" priority="1" operator="lessThan">
      <formula>0</formula>
    </cfRule>
    <cfRule type="cellIs" dxfId="74" priority="2" operator="greaterThan">
      <formula>0</formula>
    </cfRule>
  </conditionalFormatting>
  <hyperlinks>
    <hyperlink ref="B1" location="INDEX!A1" display="INDEX" xr:uid="{6F5FEA2E-547B-4983-8F0A-D284130753D8}"/>
  </hyperlinks>
  <pageMargins left="0.45" right="0.45" top="0.5" bottom="0.5" header="0.3" footer="0.3"/>
  <pageSetup scale="48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DA9A-B746-4D29-B4D5-41D674C02D28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419</v>
      </c>
      <c r="G9" s="114" t="s">
        <v>420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73" priority="1" operator="lessThan">
      <formula>0</formula>
    </cfRule>
    <cfRule type="cellIs" dxfId="72" priority="2" operator="greaterThan">
      <formula>0</formula>
    </cfRule>
  </conditionalFormatting>
  <hyperlinks>
    <hyperlink ref="B1" location="INDEX!A1" display="INDEX" xr:uid="{0240C411-55E4-4A9A-8FCF-3BD2C2E1EA7C}"/>
  </hyperlinks>
  <pageMargins left="0.45" right="0.45" top="0.5" bottom="0.5" header="0.3" footer="0.3"/>
  <pageSetup scale="48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F74C-A489-4626-AFDB-EB17CA4752B8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421</v>
      </c>
      <c r="G9" s="114" t="s">
        <v>422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71" priority="1" operator="lessThan">
      <formula>0</formula>
    </cfRule>
    <cfRule type="cellIs" dxfId="70" priority="2" operator="greaterThan">
      <formula>0</formula>
    </cfRule>
  </conditionalFormatting>
  <hyperlinks>
    <hyperlink ref="B1" location="INDEX!A1" display="INDEX" xr:uid="{3354B1DE-C392-4D60-AEA2-779D37FF2ACF}"/>
  </hyperlinks>
  <pageMargins left="0.45" right="0.45" top="0.5" bottom="0.5" header="0.3" footer="0.3"/>
  <pageSetup scale="48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6D56-9250-42C9-9EB8-A5F40CA67297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423</v>
      </c>
      <c r="G9" s="114" t="s">
        <v>424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 t="s">
        <v>425</v>
      </c>
      <c r="G15" s="114" t="s">
        <v>426</v>
      </c>
      <c r="H15" s="115"/>
      <c r="I15" s="116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69" priority="1" operator="lessThan">
      <formula>0</formula>
    </cfRule>
    <cfRule type="cellIs" dxfId="68" priority="2" operator="greaterThan">
      <formula>0</formula>
    </cfRule>
  </conditionalFormatting>
  <hyperlinks>
    <hyperlink ref="B1" location="INDEX!A1" display="INDEX" xr:uid="{884A7D95-D68B-43E7-B46C-34041B4458EE}"/>
  </hyperlinks>
  <pageMargins left="0.45" right="0.45" top="0.5" bottom="0.5" header="0.3" footer="0.3"/>
  <pageSetup scale="48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7BB4-870E-4D01-9B5C-01321472A5C8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427</v>
      </c>
      <c r="G9" s="114" t="s">
        <v>428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67" priority="1" operator="lessThan">
      <formula>0</formula>
    </cfRule>
    <cfRule type="cellIs" dxfId="66" priority="2" operator="greaterThan">
      <formula>0</formula>
    </cfRule>
  </conditionalFormatting>
  <hyperlinks>
    <hyperlink ref="B1" location="INDEX!A1" display="INDEX" xr:uid="{0B26FF3C-EE6C-492E-A7F2-4B9FA42ECB4D}"/>
  </hyperlinks>
  <pageMargins left="0.45" right="0.45" top="0.5" bottom="0.5" header="0.3" footer="0.3"/>
  <pageSetup scale="48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C6E5-F387-42AE-9367-6C751DBDDF42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429</v>
      </c>
      <c r="G9" s="114" t="s">
        <v>430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96"/>
      <c r="H10" s="97"/>
      <c r="I10" s="98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96"/>
      <c r="H11" s="97"/>
      <c r="I11" s="98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96"/>
      <c r="H12" s="97"/>
      <c r="I12" s="98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96"/>
      <c r="H13" s="97"/>
      <c r="I13" s="98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96"/>
      <c r="H14" s="97"/>
      <c r="I14" s="98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96"/>
      <c r="H15" s="97"/>
      <c r="I15" s="98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96"/>
      <c r="H16" s="97"/>
      <c r="I16" s="98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96"/>
      <c r="H17" s="97"/>
      <c r="I17" s="98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96"/>
      <c r="H18" s="97"/>
      <c r="I18" s="98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96"/>
      <c r="H19" s="97"/>
      <c r="I19" s="98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96"/>
      <c r="H20" s="97"/>
      <c r="I20" s="98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96"/>
      <c r="H21" s="97"/>
      <c r="I21" s="98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96"/>
      <c r="H22" s="97"/>
      <c r="I22" s="98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96"/>
      <c r="H23" s="97"/>
      <c r="I23" s="98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96"/>
      <c r="H24" s="97"/>
      <c r="I24" s="98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96"/>
      <c r="H25" s="97"/>
      <c r="I25" s="98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96"/>
      <c r="H26" s="97"/>
      <c r="I26" s="98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96"/>
      <c r="H27" s="97"/>
      <c r="I27" s="98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96"/>
      <c r="H28" s="97"/>
      <c r="I28" s="98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96"/>
      <c r="H29" s="97"/>
      <c r="I29" s="98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96"/>
      <c r="H30" s="97"/>
      <c r="I30" s="98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99"/>
      <c r="H31" s="100"/>
      <c r="I31" s="101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65" priority="1" operator="lessThan">
      <formula>0</formula>
    </cfRule>
    <cfRule type="cellIs" dxfId="64" priority="2" operator="greaterThan">
      <formula>0</formula>
    </cfRule>
  </conditionalFormatting>
  <hyperlinks>
    <hyperlink ref="B1" location="INDEX!A1" display="INDEX" xr:uid="{50500BD9-9CD6-4F5B-9792-50DB7837ED5C}"/>
  </hyperlinks>
  <pageMargins left="0.45" right="0.45" top="0.5" bottom="0.5" header="0.3" footer="0.3"/>
  <pageSetup scale="48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AD41-15EB-4662-9A84-28E4F92FE350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431</v>
      </c>
      <c r="G9" s="114" t="s">
        <v>432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 t="s">
        <v>433</v>
      </c>
      <c r="G18" s="183" t="s">
        <v>434</v>
      </c>
      <c r="H18" s="184"/>
      <c r="I18" s="185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63" priority="1" operator="lessThan">
      <formula>0</formula>
    </cfRule>
    <cfRule type="cellIs" dxfId="62" priority="2" operator="greaterThan">
      <formula>0</formula>
    </cfRule>
  </conditionalFormatting>
  <hyperlinks>
    <hyperlink ref="B1" location="INDEX!A1" display="INDEX" xr:uid="{70D9AB91-1F41-4F93-9C36-AB33F1EEEABE}"/>
  </hyperlinks>
  <pageMargins left="0.45" right="0.45" top="0.5" bottom="0.5" header="0.3" footer="0.3"/>
  <pageSetup scale="48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FBDF-E419-4AC5-868A-EE5526B030D5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435</v>
      </c>
      <c r="G9" s="114" t="s">
        <v>436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 t="s">
        <v>437</v>
      </c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61" priority="1" operator="lessThan">
      <formula>0</formula>
    </cfRule>
    <cfRule type="cellIs" dxfId="60" priority="2" operator="greaterThan">
      <formula>0</formula>
    </cfRule>
  </conditionalFormatting>
  <hyperlinks>
    <hyperlink ref="B1" location="INDEX!A1" display="INDEX" xr:uid="{E72E9F92-1CD9-4F63-9C45-06AE15B39304}"/>
  </hyperlinks>
  <pageMargins left="0.45" right="0.45" top="0.5" bottom="0.5" header="0.3" footer="0.3"/>
  <pageSetup scale="48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C275-AD2C-4112-9060-787860164977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438</v>
      </c>
      <c r="G9" s="114" t="s">
        <v>439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59" priority="1" operator="lessThan">
      <formula>0</formula>
    </cfRule>
    <cfRule type="cellIs" dxfId="58" priority="2" operator="greaterThan">
      <formula>0</formula>
    </cfRule>
  </conditionalFormatting>
  <hyperlinks>
    <hyperlink ref="B1" location="INDEX!A1" display="INDEX" xr:uid="{CAF8E7EB-C13B-4DC6-BB8A-E0875F1B4F26}"/>
  </hyperlinks>
  <pageMargins left="0.45" right="0.45" top="0.5" bottom="0.5" header="0.3" footer="0.3"/>
  <pageSetup scale="48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1057A-5B26-42E0-A21D-EFD66D5039C9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440</v>
      </c>
      <c r="G9" s="114" t="s">
        <v>441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57" priority="1" operator="lessThan">
      <formula>0</formula>
    </cfRule>
    <cfRule type="cellIs" dxfId="56" priority="2" operator="greaterThan">
      <formula>0</formula>
    </cfRule>
  </conditionalFormatting>
  <hyperlinks>
    <hyperlink ref="B1" location="INDEX!A1" display="INDEX" xr:uid="{EA44CA36-6F51-495A-83F1-8C5EBA071BA7}"/>
  </hyperlinks>
  <pageMargins left="0.45" right="0.45" top="0.5" bottom="0.5" header="0.3" footer="0.3"/>
  <pageSetup scale="48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1809-DB91-41F5-A367-A84FEA6EB696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442</v>
      </c>
      <c r="G9" s="114" t="s">
        <v>443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55" priority="1" operator="lessThan">
      <formula>0</formula>
    </cfRule>
    <cfRule type="cellIs" dxfId="54" priority="2" operator="greaterThan">
      <formula>0</formula>
    </cfRule>
  </conditionalFormatting>
  <hyperlinks>
    <hyperlink ref="B1" location="INDEX!A1" display="INDEX" xr:uid="{879930CA-6E02-4325-AD7B-25CC08E65779}"/>
  </hyperlinks>
  <pageMargins left="0.45" right="0.45" top="0.5" bottom="0.5" header="0.3" footer="0.3"/>
  <pageSetup scale="48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A00A-E1D8-453C-9BD7-B3B4A5270CDD}">
  <sheetPr>
    <pageSetUpPr autoPageBreaks="0" fitToPage="1"/>
  </sheetPr>
  <dimension ref="B1:W41"/>
  <sheetViews>
    <sheetView showGridLines="0" zoomScale="80" zoomScaleNormal="80" zoomScaleSheetLayoutView="70" workbookViewId="0">
      <selection activeCell="N26" sqref="N26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444</v>
      </c>
      <c r="G9" s="114" t="s">
        <v>443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R2:S2"/>
    <mergeCell ref="T2:U2"/>
    <mergeCell ref="V2:W2"/>
    <mergeCell ref="B3:C3"/>
    <mergeCell ref="D3:F3"/>
    <mergeCell ref="J3:K3"/>
    <mergeCell ref="L3:M3"/>
    <mergeCell ref="N3:O3"/>
    <mergeCell ref="P3:Q3"/>
    <mergeCell ref="R3:S3"/>
    <mergeCell ref="B2:C2"/>
    <mergeCell ref="D2:F2"/>
    <mergeCell ref="J2:K2"/>
    <mergeCell ref="L2:M2"/>
    <mergeCell ref="N2:O2"/>
    <mergeCell ref="P2:Q2"/>
    <mergeCell ref="T3:U3"/>
    <mergeCell ref="V3:W3"/>
    <mergeCell ref="B4:C4"/>
    <mergeCell ref="D4:F4"/>
    <mergeCell ref="J4:K4"/>
    <mergeCell ref="L4:M4"/>
    <mergeCell ref="N4:O4"/>
    <mergeCell ref="P4:Q4"/>
    <mergeCell ref="R4:S4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G13:I13"/>
    <mergeCell ref="V6:W6"/>
    <mergeCell ref="B7:D7"/>
    <mergeCell ref="J7:K7"/>
    <mergeCell ref="L7:M7"/>
    <mergeCell ref="N7:O7"/>
    <mergeCell ref="P7:Q7"/>
    <mergeCell ref="R7:S7"/>
    <mergeCell ref="T7:U7"/>
    <mergeCell ref="V7:W7"/>
    <mergeCell ref="J6:K6"/>
    <mergeCell ref="L6:M6"/>
    <mergeCell ref="N6:O6"/>
    <mergeCell ref="P6:Q6"/>
    <mergeCell ref="R6:S6"/>
    <mergeCell ref="T6:U6"/>
    <mergeCell ref="G8:I8"/>
    <mergeCell ref="G9:I9"/>
    <mergeCell ref="G10:I10"/>
    <mergeCell ref="G11:I11"/>
    <mergeCell ref="G12:I12"/>
    <mergeCell ref="G25:I25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37:I37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</mergeCells>
  <conditionalFormatting sqref="M36:M37 O36:O37 Q36:Q37 S36:S37 U36:U37 W36:W37">
    <cfRule type="cellIs" dxfId="53" priority="1" operator="lessThan">
      <formula>0</formula>
    </cfRule>
    <cfRule type="cellIs" dxfId="52" priority="2" operator="greaterThan">
      <formula>0</formula>
    </cfRule>
  </conditionalFormatting>
  <hyperlinks>
    <hyperlink ref="B1" location="INDEX!A1" display="INDEX" xr:uid="{F942CDA7-22B0-4954-A7DE-B41A44ACC410}"/>
  </hyperlinks>
  <pageMargins left="0.45" right="0.45" top="0.5" bottom="0.5" header="0.3" footer="0.3"/>
  <pageSetup scale="48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EA83-1E4E-469E-82AC-97280D898CE0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445</v>
      </c>
      <c r="G9" s="114" t="s">
        <v>446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 t="s">
        <v>447</v>
      </c>
      <c r="G15" s="183" t="s">
        <v>448</v>
      </c>
      <c r="H15" s="184"/>
      <c r="I15" s="185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 t="s">
        <v>449</v>
      </c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 t="s">
        <v>450</v>
      </c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51" priority="1" operator="lessThan">
      <formula>0</formula>
    </cfRule>
    <cfRule type="cellIs" dxfId="50" priority="2" operator="greaterThan">
      <formula>0</formula>
    </cfRule>
  </conditionalFormatting>
  <hyperlinks>
    <hyperlink ref="B1" location="INDEX!A1" display="INDEX" xr:uid="{1E07D0A3-3918-44EB-BA75-38E45E313CC4}"/>
  </hyperlinks>
  <pageMargins left="0.45" right="0.45" top="0.5" bottom="0.5" header="0.3" footer="0.3"/>
  <pageSetup scale="48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2AAB-689D-4431-816E-E2A50372D94D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451</v>
      </c>
      <c r="G9" s="114" t="s">
        <v>452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49" priority="1" operator="lessThan">
      <formula>0</formula>
    </cfRule>
    <cfRule type="cellIs" dxfId="48" priority="2" operator="greaterThan">
      <formula>0</formula>
    </cfRule>
  </conditionalFormatting>
  <hyperlinks>
    <hyperlink ref="B1" location="INDEX!A1" display="INDEX" xr:uid="{B2DD60A4-02AD-4C0B-ACAB-4A9E7A0C7337}"/>
  </hyperlinks>
  <pageMargins left="0.45" right="0.45" top="0.5" bottom="0.5" header="0.3" footer="0.3"/>
  <pageSetup scale="48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BB38-5795-449E-A0AA-BF93687FD873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453</v>
      </c>
      <c r="G9" s="114" t="s">
        <v>454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47" priority="1" operator="lessThan">
      <formula>0</formula>
    </cfRule>
    <cfRule type="cellIs" dxfId="46" priority="2" operator="greaterThan">
      <formula>0</formula>
    </cfRule>
  </conditionalFormatting>
  <hyperlinks>
    <hyperlink ref="B1" location="INDEX!A1" display="INDEX" xr:uid="{0BBDE07A-4B57-4508-9228-B8423F219172}"/>
  </hyperlinks>
  <pageMargins left="0.45" right="0.45" top="0.5" bottom="0.5" header="0.3" footer="0.3"/>
  <pageSetup scale="48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EBCF-15B0-444D-931E-857C7E10685D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455</v>
      </c>
      <c r="G9" s="114" t="s">
        <v>456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45" priority="1" operator="lessThan">
      <formula>0</formula>
    </cfRule>
    <cfRule type="cellIs" dxfId="44" priority="2" operator="greaterThan">
      <formula>0</formula>
    </cfRule>
  </conditionalFormatting>
  <hyperlinks>
    <hyperlink ref="B1" location="INDEX!A1" display="INDEX" xr:uid="{F354359F-81DC-415F-935E-92C4E699F7F8}"/>
  </hyperlinks>
  <pageMargins left="0.45" right="0.45" top="0.5" bottom="0.5" header="0.3" footer="0.3"/>
  <pageSetup scale="48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7AED-0C91-42B5-A1CA-5FBE98F75A7D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457</v>
      </c>
      <c r="G9" s="114" t="s">
        <v>458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43" priority="1" operator="lessThan">
      <formula>0</formula>
    </cfRule>
    <cfRule type="cellIs" dxfId="42" priority="2" operator="greaterThan">
      <formula>0</formula>
    </cfRule>
  </conditionalFormatting>
  <hyperlinks>
    <hyperlink ref="B1" location="INDEX!A1" display="INDEX" xr:uid="{CE91EAF4-2E7B-47DF-A121-F7DE0FC3D496}"/>
  </hyperlinks>
  <pageMargins left="0.45" right="0.45" top="0.5" bottom="0.5" header="0.3" footer="0.3"/>
  <pageSetup scale="48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6699-5347-47DF-8042-AE49EE0B401E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459</v>
      </c>
      <c r="G9" s="114" t="s">
        <v>460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41" priority="1" operator="lessThan">
      <formula>0</formula>
    </cfRule>
    <cfRule type="cellIs" dxfId="40" priority="2" operator="greaterThan">
      <formula>0</formula>
    </cfRule>
  </conditionalFormatting>
  <hyperlinks>
    <hyperlink ref="B1" location="INDEX!A1" display="INDEX" xr:uid="{01192D56-5BC1-4D9E-936D-21F585418268}"/>
  </hyperlinks>
  <pageMargins left="0.45" right="0.45" top="0.5" bottom="0.5" header="0.3" footer="0.3"/>
  <pageSetup scale="48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D9C2-9DEA-489C-830F-A6729044A070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461</v>
      </c>
      <c r="G9" s="114" t="s">
        <v>462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39" priority="1" operator="lessThan">
      <formula>0</formula>
    </cfRule>
    <cfRule type="cellIs" dxfId="38" priority="2" operator="greaterThan">
      <formula>0</formula>
    </cfRule>
  </conditionalFormatting>
  <hyperlinks>
    <hyperlink ref="B1" location="INDEX!A1" display="INDEX" xr:uid="{2D084F99-D114-41AE-8F08-C401E8A9B1A6}"/>
  </hyperlinks>
  <pageMargins left="0.45" right="0.45" top="0.5" bottom="0.5" header="0.3" footer="0.3"/>
  <pageSetup scale="48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FADC-E3DC-4C47-91CC-919AD8CEFF4F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463</v>
      </c>
      <c r="G9" s="114" t="s">
        <v>464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37" priority="1" operator="lessThan">
      <formula>0</formula>
    </cfRule>
    <cfRule type="cellIs" dxfId="36" priority="2" operator="greaterThan">
      <formula>0</formula>
    </cfRule>
  </conditionalFormatting>
  <hyperlinks>
    <hyperlink ref="B1" location="INDEX!A1" display="INDEX" xr:uid="{41EF2FE0-B629-4540-BADF-8D014CA7D542}"/>
  </hyperlinks>
  <pageMargins left="0.45" right="0.45" top="0.5" bottom="0.5" header="0.3" footer="0.3"/>
  <pageSetup scale="48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098E-01FA-4A47-AAE2-14C12D5D8127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465</v>
      </c>
      <c r="G9" s="114" t="s">
        <v>466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35" priority="1" operator="lessThan">
      <formula>0</formula>
    </cfRule>
    <cfRule type="cellIs" dxfId="34" priority="2" operator="greaterThan">
      <formula>0</formula>
    </cfRule>
  </conditionalFormatting>
  <hyperlinks>
    <hyperlink ref="B1" location="INDEX!A1" display="INDEX" xr:uid="{32629618-DE52-4A00-A5DD-208E820F6D78}"/>
  </hyperlinks>
  <pageMargins left="0.45" right="0.45" top="0.5" bottom="0.5" header="0.3" footer="0.3"/>
  <pageSetup scale="48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C6BD-760E-4E1A-8B35-C2675E69C404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467</v>
      </c>
      <c r="G9" s="114" t="s">
        <v>468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33" priority="1" operator="lessThan">
      <formula>0</formula>
    </cfRule>
    <cfRule type="cellIs" dxfId="32" priority="2" operator="greaterThan">
      <formula>0</formula>
    </cfRule>
  </conditionalFormatting>
  <hyperlinks>
    <hyperlink ref="B1" location="INDEX!A1" display="INDEX" xr:uid="{350C5CFA-61EA-4DDF-A639-CA0F7AF74FBA}"/>
  </hyperlinks>
  <pageMargins left="0.45" right="0.45" top="0.5" bottom="0.5" header="0.3" footer="0.3"/>
  <pageSetup scale="48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BA6A-05C3-4736-A3E6-167BB099F329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469</v>
      </c>
      <c r="G9" s="114" t="s">
        <v>470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31" priority="1" operator="lessThan">
      <formula>0</formula>
    </cfRule>
    <cfRule type="cellIs" dxfId="30" priority="2" operator="greaterThan">
      <formula>0</formula>
    </cfRule>
  </conditionalFormatting>
  <hyperlinks>
    <hyperlink ref="B1" location="INDEX!A1" display="INDEX" xr:uid="{9453D1B6-8A0B-4BBA-AA6D-DF7262AA62B6}"/>
  </hyperlinks>
  <pageMargins left="0.45" right="0.45" top="0.5" bottom="0.5" header="0.3" footer="0.3"/>
  <pageSetup scale="48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000B-6D36-4527-8AB5-7F1F0BDF1258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471</v>
      </c>
      <c r="G9" s="114" t="s">
        <v>472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29" priority="1" operator="lessThan">
      <formula>0</formula>
    </cfRule>
    <cfRule type="cellIs" dxfId="28" priority="2" operator="greaterThan">
      <formula>0</formula>
    </cfRule>
  </conditionalFormatting>
  <hyperlinks>
    <hyperlink ref="B1" location="INDEX!A1" display="INDEX" xr:uid="{52EAE049-4DDF-46C5-B0C7-23F45277463B}"/>
  </hyperlinks>
  <pageMargins left="0.45" right="0.45" top="0.5" bottom="0.5" header="0.3" footer="0.3"/>
  <pageSetup scale="48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7909-D53E-4F74-9D39-B1E9D5FC8C1C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473</v>
      </c>
      <c r="G9" s="114" t="s">
        <v>474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27" priority="1" operator="lessThan">
      <formula>0</formula>
    </cfRule>
    <cfRule type="cellIs" dxfId="26" priority="2" operator="greaterThan">
      <formula>0</formula>
    </cfRule>
  </conditionalFormatting>
  <hyperlinks>
    <hyperlink ref="B1" location="INDEX!A1" display="INDEX" xr:uid="{F313D316-EA93-46BD-90B0-9B9A0735C0F4}"/>
  </hyperlinks>
  <pageMargins left="0.45" right="0.45" top="0.5" bottom="0.5" header="0.3" footer="0.3"/>
  <pageSetup scale="48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E3FB-1FE5-4128-AAC7-C9739D30DEF7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475</v>
      </c>
      <c r="G9" s="114" t="s">
        <v>476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25" priority="1" operator="lessThan">
      <formula>0</formula>
    </cfRule>
    <cfRule type="cellIs" dxfId="24" priority="2" operator="greaterThan">
      <formula>0</formula>
    </cfRule>
  </conditionalFormatting>
  <hyperlinks>
    <hyperlink ref="B1" location="INDEX!A1" display="INDEX" xr:uid="{287B7DD7-E7DC-49EC-8E52-2F3310B0E1A4}"/>
  </hyperlinks>
  <pageMargins left="0.45" right="0.45" top="0.5" bottom="0.5" header="0.3" footer="0.3"/>
  <pageSetup scale="48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9CCC-F5A2-4D22-ACE3-68D234DED54E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477</v>
      </c>
      <c r="G9" s="114" t="s">
        <v>478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23" priority="1" operator="lessThan">
      <formula>0</formula>
    </cfRule>
    <cfRule type="cellIs" dxfId="22" priority="2" operator="greaterThan">
      <formula>0</formula>
    </cfRule>
  </conditionalFormatting>
  <hyperlinks>
    <hyperlink ref="B1" location="INDEX!A1" display="INDEX" xr:uid="{026E9BF1-3ACB-4100-AB63-12BC188C543D}"/>
  </hyperlinks>
  <pageMargins left="0.45" right="0.45" top="0.5" bottom="0.5" header="0.3" footer="0.3"/>
  <pageSetup scale="48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A3EC-51BC-4723-A911-618DF2A39148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479</v>
      </c>
      <c r="G9" s="114" t="s">
        <v>480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21" priority="1" operator="lessThan">
      <formula>0</formula>
    </cfRule>
    <cfRule type="cellIs" dxfId="20" priority="2" operator="greaterThan">
      <formula>0</formula>
    </cfRule>
  </conditionalFormatting>
  <hyperlinks>
    <hyperlink ref="B1" location="INDEX!A1" display="INDEX" xr:uid="{AE40301F-6E9E-4600-AD20-2BE67D926204}"/>
  </hyperlinks>
  <pageMargins left="0.45" right="0.45" top="0.5" bottom="0.5" header="0.3" footer="0.3"/>
  <pageSetup scale="48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D3FB-C5D0-4D80-B93B-101F9397794B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481</v>
      </c>
      <c r="G9" s="114" t="s">
        <v>482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9" priority="1" operator="lessThan">
      <formula>0</formula>
    </cfRule>
    <cfRule type="cellIs" dxfId="18" priority="2" operator="greaterThan">
      <formula>0</formula>
    </cfRule>
  </conditionalFormatting>
  <hyperlinks>
    <hyperlink ref="B1" location="INDEX!A1" display="INDEX" xr:uid="{0A6E9D03-3079-403B-A180-DD67AC079F08}"/>
  </hyperlinks>
  <pageMargins left="0.45" right="0.45" top="0.5" bottom="0.5" header="0.3" footer="0.3"/>
  <pageSetup scale="48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B346-0F8D-4738-8A89-FDB45C17EE0D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483</v>
      </c>
      <c r="G9" s="114" t="s">
        <v>484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 t="s">
        <v>485</v>
      </c>
      <c r="G14" s="183" t="s">
        <v>486</v>
      </c>
      <c r="H14" s="184"/>
      <c r="I14" s="185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 t="s">
        <v>487</v>
      </c>
      <c r="G17" s="183" t="s">
        <v>488</v>
      </c>
      <c r="H17" s="184"/>
      <c r="I17" s="185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 t="s">
        <v>489</v>
      </c>
      <c r="G20" s="183" t="s">
        <v>490</v>
      </c>
      <c r="H20" s="184"/>
      <c r="I20" s="185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 t="s">
        <v>491</v>
      </c>
      <c r="G23" s="183" t="s">
        <v>492</v>
      </c>
      <c r="H23" s="184"/>
      <c r="I23" s="185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7" priority="1" operator="lessThan">
      <formula>0</formula>
    </cfRule>
    <cfRule type="cellIs" dxfId="16" priority="2" operator="greaterThan">
      <formula>0</formula>
    </cfRule>
  </conditionalFormatting>
  <hyperlinks>
    <hyperlink ref="B1" location="INDEX!A1" display="INDEX" xr:uid="{DD462015-3EF8-4A8F-99A0-B66296645407}"/>
  </hyperlinks>
  <pageMargins left="0.45" right="0.45" top="0.5" bottom="0.5" header="0.3" footer="0.3"/>
  <pageSetup scale="48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D83C-769F-40CC-984E-D369CF2E9373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493</v>
      </c>
      <c r="G9" s="114" t="s">
        <v>494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5" priority="1" operator="lessThan">
      <formula>0</formula>
    </cfRule>
    <cfRule type="cellIs" dxfId="14" priority="2" operator="greaterThan">
      <formula>0</formula>
    </cfRule>
  </conditionalFormatting>
  <hyperlinks>
    <hyperlink ref="B1" location="INDEX!A1" display="INDEX" xr:uid="{B6D2667E-5A2E-4151-880D-F33B7B7729F2}"/>
  </hyperlinks>
  <pageMargins left="0.45" right="0.45" top="0.5" bottom="0.5" header="0.3" footer="0.3"/>
  <pageSetup scale="48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18DE-00D5-4674-A2EB-ECCF3EC25EBB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495</v>
      </c>
      <c r="G9" s="114" t="s">
        <v>496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3" priority="1" operator="lessThan">
      <formula>0</formula>
    </cfRule>
    <cfRule type="cellIs" dxfId="12" priority="2" operator="greaterThan">
      <formula>0</formula>
    </cfRule>
  </conditionalFormatting>
  <hyperlinks>
    <hyperlink ref="B1" location="INDEX!A1" display="INDEX" xr:uid="{81E5E1B2-D3CF-40D3-BABB-F790D8C38623}"/>
  </hyperlinks>
  <pageMargins left="0.45" right="0.45" top="0.5" bottom="0.5" header="0.3" footer="0.3"/>
  <pageSetup scale="48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590F-E071-4179-BC4E-D61B74A701AB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497</v>
      </c>
      <c r="G9" s="114" t="s">
        <v>498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1" priority="1" operator="lessThan">
      <formula>0</formula>
    </cfRule>
    <cfRule type="cellIs" dxfId="10" priority="2" operator="greaterThan">
      <formula>0</formula>
    </cfRule>
  </conditionalFormatting>
  <hyperlinks>
    <hyperlink ref="B1" location="INDEX!A1" display="INDEX" xr:uid="{09C52C62-AD33-4092-8896-3EBACC05CF93}"/>
  </hyperlinks>
  <pageMargins left="0.45" right="0.45" top="0.5" bottom="0.5" header="0.3" footer="0.3"/>
  <pageSetup scale="48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C0B8-B555-42F6-8A6A-C122BCD892A7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499</v>
      </c>
      <c r="G9" s="114" t="s">
        <v>500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9" priority="1" operator="lessThan">
      <formula>0</formula>
    </cfRule>
    <cfRule type="cellIs" dxfId="8" priority="2" operator="greaterThan">
      <formula>0</formula>
    </cfRule>
  </conditionalFormatting>
  <hyperlinks>
    <hyperlink ref="B1" location="INDEX!A1" display="INDEX" xr:uid="{AAD90D49-AA36-4C95-AACB-B7BC0569E8A5}"/>
  </hyperlinks>
  <pageMargins left="0.45" right="0.45" top="0.5" bottom="0.5" header="0.3" footer="0.3"/>
  <pageSetup scale="48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BA87-72B1-43A4-BE06-C7A28DB50F63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501</v>
      </c>
      <c r="G9" s="114" t="s">
        <v>502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7" priority="1" operator="lessThan">
      <formula>0</formula>
    </cfRule>
    <cfRule type="cellIs" dxfId="6" priority="2" operator="greaterThan">
      <formula>0</formula>
    </cfRule>
  </conditionalFormatting>
  <hyperlinks>
    <hyperlink ref="B1" location="INDEX!A1" display="INDEX" xr:uid="{9D8C2259-8097-408A-9A57-33262DE05281}"/>
  </hyperlinks>
  <pageMargins left="0.45" right="0.45" top="0.5" bottom="0.5" header="0.3" footer="0.3"/>
  <pageSetup scale="48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39E1-E523-4288-920A-1209D7D65D06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503</v>
      </c>
      <c r="G9" s="114" t="s">
        <v>504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5" priority="1" operator="lessThan">
      <formula>0</formula>
    </cfRule>
    <cfRule type="cellIs" dxfId="4" priority="2" operator="greaterThan">
      <formula>0</formula>
    </cfRule>
  </conditionalFormatting>
  <hyperlinks>
    <hyperlink ref="B1" location="INDEX!A1" display="INDEX" xr:uid="{359A680F-74AA-4CA8-BF19-097F65988F63}"/>
  </hyperlinks>
  <pageMargins left="0.45" right="0.45" top="0.5" bottom="0.5" header="0.3" footer="0.3"/>
  <pageSetup scale="48" orientation="landscape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8CEB-ADAC-4190-A6F6-142762399BAC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 t="s">
        <v>505</v>
      </c>
      <c r="G9" s="114" t="s">
        <v>506</v>
      </c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3" priority="1" operator="lessThan">
      <formula>0</formula>
    </cfRule>
    <cfRule type="cellIs" dxfId="2" priority="2" operator="greaterThan">
      <formula>0</formula>
    </cfRule>
  </conditionalFormatting>
  <hyperlinks>
    <hyperlink ref="B1" location="INDEX!A1" display="INDEX" xr:uid="{EC309141-D990-4F61-B44F-DCD632103A7C}"/>
  </hyperlinks>
  <pageMargins left="0.45" right="0.45" top="0.5" bottom="0.5" header="0.3" footer="0.3"/>
  <pageSetup scale="48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05F2-8946-451C-8659-765AF7C48770}">
  <sheetPr>
    <pageSetUpPr autoPageBreaks="0" fitToPage="1"/>
  </sheetPr>
  <dimension ref="B1:W41"/>
  <sheetViews>
    <sheetView showGridLines="0" zoomScale="80" zoomScaleNormal="80" zoomScaleSheetLayoutView="70" workbookViewId="0">
      <selection activeCell="B13" sqref="B13"/>
    </sheetView>
  </sheetViews>
  <sheetFormatPr defaultRowHeight="15"/>
  <cols>
    <col min="1" max="1" width="2.140625" customWidth="1"/>
    <col min="2" max="4" width="12" customWidth="1"/>
    <col min="5" max="5" width="12.7109375" customWidth="1"/>
    <col min="6" max="6" width="12.85546875" customWidth="1"/>
    <col min="7" max="9" width="17.85546875" customWidth="1"/>
    <col min="10" max="10" width="13" customWidth="1"/>
    <col min="11" max="11" width="7.28515625" customWidth="1"/>
    <col min="12" max="23" width="16.28515625" customWidth="1"/>
  </cols>
  <sheetData>
    <row r="1" spans="2:23" ht="15.75" thickBot="1">
      <c r="B1" s="54" t="s">
        <v>116</v>
      </c>
    </row>
    <row r="2" spans="2:23" ht="16.5" thickTop="1" thickBot="1">
      <c r="B2" s="143" t="s">
        <v>117</v>
      </c>
      <c r="C2" s="143"/>
      <c r="D2" s="144" t="e" cm="1">
        <f t="array" aca="1" ref="D2" ca="1">MID(CELL("filename", A1), FIND("]", CELL("filename", A1)) + 1, 255)</f>
        <v>#VALUE!</v>
      </c>
      <c r="E2" s="144"/>
      <c r="F2" s="144"/>
      <c r="I2" s="1"/>
      <c r="J2" s="135" t="s">
        <v>119</v>
      </c>
      <c r="K2" s="145"/>
      <c r="L2" s="146">
        <v>1</v>
      </c>
      <c r="M2" s="136"/>
      <c r="N2" s="135">
        <v>2</v>
      </c>
      <c r="O2" s="136"/>
      <c r="P2" s="135">
        <v>3</v>
      </c>
      <c r="Q2" s="136"/>
      <c r="R2" s="135">
        <v>4</v>
      </c>
      <c r="S2" s="136"/>
      <c r="T2" s="135">
        <v>5</v>
      </c>
      <c r="U2" s="136"/>
      <c r="V2" s="137">
        <v>6</v>
      </c>
      <c r="W2" s="138"/>
    </row>
    <row r="3" spans="2:23" ht="16.5" thickTop="1" thickBot="1">
      <c r="B3" s="139" t="s">
        <v>1</v>
      </c>
      <c r="C3" s="139"/>
      <c r="D3" s="140" t="str">
        <f>'Project Info'!D4</f>
        <v>NAME</v>
      </c>
      <c r="E3" s="140"/>
      <c r="F3" s="140"/>
      <c r="I3" s="1"/>
      <c r="J3" s="141" t="s">
        <v>120</v>
      </c>
      <c r="K3" s="130"/>
      <c r="L3" s="142"/>
      <c r="M3" s="131"/>
      <c r="N3" s="130"/>
      <c r="O3" s="131"/>
      <c r="P3" s="130"/>
      <c r="Q3" s="131"/>
      <c r="R3" s="130"/>
      <c r="S3" s="131"/>
      <c r="T3" s="130"/>
      <c r="U3" s="131"/>
      <c r="V3" s="130"/>
      <c r="W3" s="131"/>
    </row>
    <row r="4" spans="2:23" ht="15.75" thickBot="1">
      <c r="B4" s="132" t="s">
        <v>3</v>
      </c>
      <c r="C4" s="132"/>
      <c r="D4" s="133" t="str">
        <f>'Project Info'!D5</f>
        <v>DATE</v>
      </c>
      <c r="E4" s="134"/>
      <c r="F4" s="134"/>
      <c r="I4" s="2"/>
      <c r="J4" s="111" t="s">
        <v>121</v>
      </c>
      <c r="K4" s="128"/>
      <c r="L4" s="127"/>
      <c r="M4" s="112"/>
      <c r="N4" s="128"/>
      <c r="O4" s="112"/>
      <c r="P4" s="128"/>
      <c r="Q4" s="112"/>
      <c r="R4" s="128"/>
      <c r="S4" s="112"/>
      <c r="T4" s="128"/>
      <c r="U4" s="112"/>
      <c r="V4" s="128"/>
      <c r="W4" s="112"/>
    </row>
    <row r="5" spans="2:23" ht="15.75" thickTop="1">
      <c r="I5" s="3"/>
      <c r="J5" s="111" t="s">
        <v>122</v>
      </c>
      <c r="K5" s="128"/>
      <c r="L5" s="129"/>
      <c r="M5" s="118"/>
      <c r="N5" s="117"/>
      <c r="O5" s="118"/>
      <c r="P5" s="117"/>
      <c r="Q5" s="118"/>
      <c r="R5" s="117"/>
      <c r="S5" s="118"/>
      <c r="T5" s="117"/>
      <c r="U5" s="118"/>
      <c r="V5" s="117"/>
      <c r="W5" s="118"/>
    </row>
    <row r="6" spans="2:23" ht="15.75" thickBot="1">
      <c r="I6" s="3"/>
      <c r="J6" s="111" t="s">
        <v>123</v>
      </c>
      <c r="K6" s="126"/>
      <c r="L6" s="127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</row>
    <row r="7" spans="2:23" ht="15.75" thickBot="1">
      <c r="B7" s="119" t="s">
        <v>124</v>
      </c>
      <c r="C7" s="120"/>
      <c r="D7" s="121"/>
      <c r="E7" s="36"/>
      <c r="F7" s="4"/>
      <c r="G7" s="5"/>
      <c r="H7" s="5"/>
      <c r="I7" s="5"/>
      <c r="J7" s="122" t="s">
        <v>125</v>
      </c>
      <c r="K7" s="123"/>
      <c r="L7" s="124"/>
      <c r="M7" s="125"/>
      <c r="N7" s="123"/>
      <c r="O7" s="125"/>
      <c r="P7" s="123"/>
      <c r="Q7" s="125"/>
      <c r="R7" s="123"/>
      <c r="S7" s="125"/>
      <c r="T7" s="123"/>
      <c r="U7" s="125"/>
      <c r="V7" s="123"/>
      <c r="W7" s="125"/>
    </row>
    <row r="8" spans="2:23" ht="27" customHeight="1" thickTop="1">
      <c r="B8" s="24" t="s">
        <v>126</v>
      </c>
      <c r="C8" s="24" t="s">
        <v>127</v>
      </c>
      <c r="D8" s="24" t="s">
        <v>128</v>
      </c>
      <c r="E8" s="23" t="s">
        <v>129</v>
      </c>
      <c r="F8" s="37" t="s">
        <v>130</v>
      </c>
      <c r="G8" s="113" t="s">
        <v>131</v>
      </c>
      <c r="H8" s="113"/>
      <c r="I8" s="113"/>
      <c r="J8" s="25" t="s">
        <v>132</v>
      </c>
      <c r="K8" s="42" t="s">
        <v>133</v>
      </c>
      <c r="L8" s="44" t="s">
        <v>134</v>
      </c>
      <c r="M8" s="7" t="s">
        <v>129</v>
      </c>
      <c r="N8" s="6" t="s">
        <v>134</v>
      </c>
      <c r="O8" s="7" t="s">
        <v>129</v>
      </c>
      <c r="P8" s="6" t="s">
        <v>134</v>
      </c>
      <c r="Q8" s="7" t="s">
        <v>129</v>
      </c>
      <c r="R8" s="6" t="s">
        <v>134</v>
      </c>
      <c r="S8" s="7" t="s">
        <v>129</v>
      </c>
      <c r="T8" s="6" t="s">
        <v>134</v>
      </c>
      <c r="U8" s="7" t="s">
        <v>129</v>
      </c>
      <c r="V8" s="8" t="s">
        <v>134</v>
      </c>
      <c r="W8" s="9" t="s">
        <v>129</v>
      </c>
    </row>
    <row r="9" spans="2:23">
      <c r="B9" s="57"/>
      <c r="C9" s="57" t="s">
        <v>135</v>
      </c>
      <c r="D9" s="57" cm="1">
        <f t="array" ref="D9">MIN(IF(M35:W35&gt;0, M35:W35))</f>
        <v>0</v>
      </c>
      <c r="E9" s="52">
        <f>SUM(B9:D9)</f>
        <v>0</v>
      </c>
      <c r="F9" s="38"/>
      <c r="G9" s="114"/>
      <c r="H9" s="115"/>
      <c r="I9" s="116"/>
      <c r="J9" s="55"/>
      <c r="K9" s="43"/>
      <c r="L9" s="62"/>
      <c r="M9" s="11">
        <f t="shared" ref="M9:O24" si="0">L9*$J9</f>
        <v>0</v>
      </c>
      <c r="N9" s="71"/>
      <c r="O9" s="11">
        <f>N9*$J9</f>
        <v>0</v>
      </c>
      <c r="P9" s="71"/>
      <c r="Q9" s="11">
        <f>P9*$J9</f>
        <v>0</v>
      </c>
      <c r="R9" s="71"/>
      <c r="S9" s="11">
        <f>R9*$J9</f>
        <v>0</v>
      </c>
      <c r="T9" s="71"/>
      <c r="U9" s="11">
        <f>T9*$J9</f>
        <v>0</v>
      </c>
      <c r="V9" s="72"/>
      <c r="W9" s="11">
        <f>V9*$J9</f>
        <v>0</v>
      </c>
    </row>
    <row r="10" spans="2:23">
      <c r="B10" s="57"/>
      <c r="C10" s="57"/>
      <c r="D10" s="57"/>
      <c r="E10" s="52">
        <f>SUM(B10:D10)</f>
        <v>0</v>
      </c>
      <c r="F10" s="38"/>
      <c r="G10" s="180"/>
      <c r="H10" s="181"/>
      <c r="I10" s="182"/>
      <c r="J10" s="55"/>
      <c r="K10" s="43"/>
      <c r="L10" s="62"/>
      <c r="M10" s="11">
        <f t="shared" si="0"/>
        <v>0</v>
      </c>
      <c r="N10" s="71"/>
      <c r="O10" s="11">
        <f t="shared" si="0"/>
        <v>0</v>
      </c>
      <c r="P10" s="71"/>
      <c r="Q10" s="11">
        <f t="shared" ref="Q10:Q31" si="1">P10*$J10</f>
        <v>0</v>
      </c>
      <c r="R10" s="71"/>
      <c r="S10" s="11">
        <f t="shared" ref="S10:S31" si="2">R10*$J10</f>
        <v>0</v>
      </c>
      <c r="T10" s="71"/>
      <c r="U10" s="11">
        <f t="shared" ref="U10:U31" si="3">T10*$J10</f>
        <v>0</v>
      </c>
      <c r="V10" s="72"/>
      <c r="W10" s="11">
        <f t="shared" ref="W10:W31" si="4">V10*$J10</f>
        <v>0</v>
      </c>
    </row>
    <row r="11" spans="2:23">
      <c r="B11" s="57"/>
      <c r="C11" s="57"/>
      <c r="D11" s="57"/>
      <c r="E11" s="52">
        <f>SUM(B11:D11)</f>
        <v>0</v>
      </c>
      <c r="F11" s="38"/>
      <c r="G11" s="180"/>
      <c r="H11" s="181"/>
      <c r="I11" s="182"/>
      <c r="J11" s="55"/>
      <c r="K11" s="43"/>
      <c r="L11" s="62"/>
      <c r="M11" s="11">
        <f t="shared" si="0"/>
        <v>0</v>
      </c>
      <c r="N11" s="71"/>
      <c r="O11" s="11">
        <f t="shared" si="0"/>
        <v>0</v>
      </c>
      <c r="P11" s="71"/>
      <c r="Q11" s="11">
        <f t="shared" si="1"/>
        <v>0</v>
      </c>
      <c r="R11" s="71"/>
      <c r="S11" s="11">
        <f t="shared" si="2"/>
        <v>0</v>
      </c>
      <c r="T11" s="71"/>
      <c r="U11" s="11">
        <f t="shared" si="3"/>
        <v>0</v>
      </c>
      <c r="V11" s="72"/>
      <c r="W11" s="11">
        <f t="shared" si="4"/>
        <v>0</v>
      </c>
    </row>
    <row r="12" spans="2:23">
      <c r="B12" s="57"/>
      <c r="C12" s="57"/>
      <c r="D12" s="57"/>
      <c r="E12" s="52">
        <f t="shared" ref="E12:E31" si="5">SUM(B12:D12)</f>
        <v>0</v>
      </c>
      <c r="F12" s="38"/>
      <c r="G12" s="180"/>
      <c r="H12" s="181"/>
      <c r="I12" s="182"/>
      <c r="J12" s="55"/>
      <c r="K12" s="43"/>
      <c r="L12" s="62"/>
      <c r="M12" s="11">
        <f t="shared" si="0"/>
        <v>0</v>
      </c>
      <c r="N12" s="71"/>
      <c r="O12" s="11">
        <f t="shared" si="0"/>
        <v>0</v>
      </c>
      <c r="P12" s="71"/>
      <c r="Q12" s="11">
        <f t="shared" si="1"/>
        <v>0</v>
      </c>
      <c r="R12" s="71"/>
      <c r="S12" s="11">
        <f t="shared" si="2"/>
        <v>0</v>
      </c>
      <c r="T12" s="71"/>
      <c r="U12" s="11">
        <f t="shared" si="3"/>
        <v>0</v>
      </c>
      <c r="V12" s="72"/>
      <c r="W12" s="11">
        <f t="shared" si="4"/>
        <v>0</v>
      </c>
    </row>
    <row r="13" spans="2:23">
      <c r="B13" s="57"/>
      <c r="C13" s="57"/>
      <c r="D13" s="57"/>
      <c r="E13" s="52">
        <f t="shared" si="5"/>
        <v>0</v>
      </c>
      <c r="F13" s="38"/>
      <c r="G13" s="180"/>
      <c r="H13" s="181"/>
      <c r="I13" s="182"/>
      <c r="J13" s="55"/>
      <c r="K13" s="43"/>
      <c r="L13" s="62"/>
      <c r="M13" s="11">
        <f t="shared" si="0"/>
        <v>0</v>
      </c>
      <c r="N13" s="71"/>
      <c r="O13" s="11">
        <f t="shared" si="0"/>
        <v>0</v>
      </c>
      <c r="P13" s="71"/>
      <c r="Q13" s="11">
        <f t="shared" si="1"/>
        <v>0</v>
      </c>
      <c r="R13" s="71"/>
      <c r="S13" s="11">
        <f t="shared" si="2"/>
        <v>0</v>
      </c>
      <c r="T13" s="71"/>
      <c r="U13" s="11">
        <f t="shared" si="3"/>
        <v>0</v>
      </c>
      <c r="V13" s="72"/>
      <c r="W13" s="11">
        <f t="shared" si="4"/>
        <v>0</v>
      </c>
    </row>
    <row r="14" spans="2:23">
      <c r="B14" s="57"/>
      <c r="C14" s="57"/>
      <c r="D14" s="57"/>
      <c r="E14" s="52">
        <f t="shared" si="5"/>
        <v>0</v>
      </c>
      <c r="F14" s="38"/>
      <c r="G14" s="180"/>
      <c r="H14" s="181"/>
      <c r="I14" s="182"/>
      <c r="J14" s="55"/>
      <c r="K14" s="43"/>
      <c r="L14" s="62"/>
      <c r="M14" s="11">
        <f t="shared" si="0"/>
        <v>0</v>
      </c>
      <c r="N14" s="71"/>
      <c r="O14" s="11">
        <f t="shared" si="0"/>
        <v>0</v>
      </c>
      <c r="P14" s="71"/>
      <c r="Q14" s="11">
        <f t="shared" si="1"/>
        <v>0</v>
      </c>
      <c r="R14" s="71"/>
      <c r="S14" s="11">
        <f t="shared" si="2"/>
        <v>0</v>
      </c>
      <c r="T14" s="71"/>
      <c r="U14" s="11">
        <f t="shared" si="3"/>
        <v>0</v>
      </c>
      <c r="V14" s="72"/>
      <c r="W14" s="11">
        <f t="shared" si="4"/>
        <v>0</v>
      </c>
    </row>
    <row r="15" spans="2:23">
      <c r="B15" s="57"/>
      <c r="C15" s="57"/>
      <c r="D15" s="57"/>
      <c r="E15" s="52">
        <f t="shared" si="5"/>
        <v>0</v>
      </c>
      <c r="F15" s="38"/>
      <c r="G15" s="180"/>
      <c r="H15" s="181"/>
      <c r="I15" s="182"/>
      <c r="J15" s="55"/>
      <c r="K15" s="43"/>
      <c r="L15" s="62"/>
      <c r="M15" s="11">
        <f t="shared" si="0"/>
        <v>0</v>
      </c>
      <c r="N15" s="71"/>
      <c r="O15" s="11">
        <f t="shared" si="0"/>
        <v>0</v>
      </c>
      <c r="P15" s="71"/>
      <c r="Q15" s="11">
        <f t="shared" si="1"/>
        <v>0</v>
      </c>
      <c r="R15" s="71"/>
      <c r="S15" s="11">
        <f t="shared" si="2"/>
        <v>0</v>
      </c>
      <c r="T15" s="71"/>
      <c r="U15" s="11">
        <f t="shared" si="3"/>
        <v>0</v>
      </c>
      <c r="V15" s="72"/>
      <c r="W15" s="11">
        <f t="shared" si="4"/>
        <v>0</v>
      </c>
    </row>
    <row r="16" spans="2:23">
      <c r="B16" s="57"/>
      <c r="C16" s="57"/>
      <c r="D16" s="57"/>
      <c r="E16" s="52">
        <f t="shared" si="5"/>
        <v>0</v>
      </c>
      <c r="F16" s="38"/>
      <c r="G16" s="180"/>
      <c r="H16" s="181"/>
      <c r="I16" s="182"/>
      <c r="J16" s="55"/>
      <c r="K16" s="43"/>
      <c r="L16" s="62"/>
      <c r="M16" s="11">
        <f t="shared" si="0"/>
        <v>0</v>
      </c>
      <c r="N16" s="71"/>
      <c r="O16" s="11">
        <f t="shared" si="0"/>
        <v>0</v>
      </c>
      <c r="P16" s="71"/>
      <c r="Q16" s="11">
        <f t="shared" si="1"/>
        <v>0</v>
      </c>
      <c r="R16" s="71"/>
      <c r="S16" s="11">
        <f t="shared" si="2"/>
        <v>0</v>
      </c>
      <c r="T16" s="71"/>
      <c r="U16" s="11">
        <f t="shared" si="3"/>
        <v>0</v>
      </c>
      <c r="V16" s="72"/>
      <c r="W16" s="11">
        <f t="shared" si="4"/>
        <v>0</v>
      </c>
    </row>
    <row r="17" spans="2:23">
      <c r="B17" s="57"/>
      <c r="C17" s="57"/>
      <c r="D17" s="57"/>
      <c r="E17" s="52">
        <f t="shared" si="5"/>
        <v>0</v>
      </c>
      <c r="F17" s="38"/>
      <c r="G17" s="180"/>
      <c r="H17" s="181"/>
      <c r="I17" s="182"/>
      <c r="J17" s="55"/>
      <c r="K17" s="43"/>
      <c r="L17" s="62"/>
      <c r="M17" s="11">
        <f t="shared" si="0"/>
        <v>0</v>
      </c>
      <c r="N17" s="71"/>
      <c r="O17" s="11">
        <f t="shared" si="0"/>
        <v>0</v>
      </c>
      <c r="P17" s="71"/>
      <c r="Q17" s="11">
        <f t="shared" si="1"/>
        <v>0</v>
      </c>
      <c r="R17" s="71"/>
      <c r="S17" s="11">
        <f t="shared" si="2"/>
        <v>0</v>
      </c>
      <c r="T17" s="71"/>
      <c r="U17" s="11">
        <f t="shared" si="3"/>
        <v>0</v>
      </c>
      <c r="V17" s="72"/>
      <c r="W17" s="11">
        <f t="shared" si="4"/>
        <v>0</v>
      </c>
    </row>
    <row r="18" spans="2:23">
      <c r="B18" s="57"/>
      <c r="C18" s="57"/>
      <c r="D18" s="57"/>
      <c r="E18" s="52">
        <f t="shared" si="5"/>
        <v>0</v>
      </c>
      <c r="F18" s="38"/>
      <c r="G18" s="180"/>
      <c r="H18" s="181"/>
      <c r="I18" s="182"/>
      <c r="J18" s="55"/>
      <c r="K18" s="43"/>
      <c r="L18" s="62"/>
      <c r="M18" s="11">
        <f t="shared" si="0"/>
        <v>0</v>
      </c>
      <c r="N18" s="71"/>
      <c r="O18" s="11">
        <f t="shared" si="0"/>
        <v>0</v>
      </c>
      <c r="P18" s="71"/>
      <c r="Q18" s="11">
        <f t="shared" si="1"/>
        <v>0</v>
      </c>
      <c r="R18" s="71"/>
      <c r="S18" s="11">
        <f t="shared" si="2"/>
        <v>0</v>
      </c>
      <c r="T18" s="71"/>
      <c r="U18" s="11">
        <f t="shared" si="3"/>
        <v>0</v>
      </c>
      <c r="V18" s="72"/>
      <c r="W18" s="11">
        <f t="shared" si="4"/>
        <v>0</v>
      </c>
    </row>
    <row r="19" spans="2:23">
      <c r="B19" s="57"/>
      <c r="C19" s="57"/>
      <c r="D19" s="57"/>
      <c r="E19" s="52">
        <f t="shared" si="5"/>
        <v>0</v>
      </c>
      <c r="F19" s="38"/>
      <c r="G19" s="180"/>
      <c r="H19" s="181"/>
      <c r="I19" s="182"/>
      <c r="J19" s="55"/>
      <c r="K19" s="43"/>
      <c r="L19" s="62"/>
      <c r="M19" s="11">
        <f t="shared" si="0"/>
        <v>0</v>
      </c>
      <c r="N19" s="71"/>
      <c r="O19" s="11">
        <f t="shared" si="0"/>
        <v>0</v>
      </c>
      <c r="P19" s="71"/>
      <c r="Q19" s="11">
        <f t="shared" si="1"/>
        <v>0</v>
      </c>
      <c r="R19" s="71"/>
      <c r="S19" s="11">
        <f t="shared" si="2"/>
        <v>0</v>
      </c>
      <c r="T19" s="71"/>
      <c r="U19" s="11">
        <f t="shared" si="3"/>
        <v>0</v>
      </c>
      <c r="V19" s="72"/>
      <c r="W19" s="11">
        <f t="shared" si="4"/>
        <v>0</v>
      </c>
    </row>
    <row r="20" spans="2:23">
      <c r="B20" s="57"/>
      <c r="C20" s="57"/>
      <c r="D20" s="57"/>
      <c r="E20" s="52">
        <f t="shared" si="5"/>
        <v>0</v>
      </c>
      <c r="F20" s="38"/>
      <c r="G20" s="180"/>
      <c r="H20" s="181"/>
      <c r="I20" s="182"/>
      <c r="J20" s="55"/>
      <c r="K20" s="43"/>
      <c r="L20" s="62"/>
      <c r="M20" s="11">
        <f t="shared" si="0"/>
        <v>0</v>
      </c>
      <c r="N20" s="71"/>
      <c r="O20" s="11">
        <f t="shared" si="0"/>
        <v>0</v>
      </c>
      <c r="P20" s="71"/>
      <c r="Q20" s="11">
        <f t="shared" si="1"/>
        <v>0</v>
      </c>
      <c r="R20" s="71"/>
      <c r="S20" s="11">
        <f t="shared" si="2"/>
        <v>0</v>
      </c>
      <c r="T20" s="71"/>
      <c r="U20" s="11">
        <f t="shared" si="3"/>
        <v>0</v>
      </c>
      <c r="V20" s="72"/>
      <c r="W20" s="11">
        <f t="shared" si="4"/>
        <v>0</v>
      </c>
    </row>
    <row r="21" spans="2:23">
      <c r="B21" s="57"/>
      <c r="C21" s="57"/>
      <c r="D21" s="57"/>
      <c r="E21" s="52">
        <f t="shared" si="5"/>
        <v>0</v>
      </c>
      <c r="F21" s="38"/>
      <c r="G21" s="180"/>
      <c r="H21" s="181"/>
      <c r="I21" s="182"/>
      <c r="J21" s="55"/>
      <c r="K21" s="43"/>
      <c r="L21" s="62"/>
      <c r="M21" s="11">
        <f t="shared" si="0"/>
        <v>0</v>
      </c>
      <c r="N21" s="71"/>
      <c r="O21" s="11">
        <f t="shared" si="0"/>
        <v>0</v>
      </c>
      <c r="P21" s="71"/>
      <c r="Q21" s="11">
        <f t="shared" si="1"/>
        <v>0</v>
      </c>
      <c r="R21" s="71"/>
      <c r="S21" s="11">
        <f t="shared" si="2"/>
        <v>0</v>
      </c>
      <c r="T21" s="71"/>
      <c r="U21" s="11">
        <f t="shared" si="3"/>
        <v>0</v>
      </c>
      <c r="V21" s="72"/>
      <c r="W21" s="11">
        <f t="shared" si="4"/>
        <v>0</v>
      </c>
    </row>
    <row r="22" spans="2:23">
      <c r="B22" s="57"/>
      <c r="C22" s="57"/>
      <c r="D22" s="57"/>
      <c r="E22" s="52">
        <f t="shared" si="5"/>
        <v>0</v>
      </c>
      <c r="F22" s="38"/>
      <c r="G22" s="180"/>
      <c r="H22" s="181"/>
      <c r="I22" s="182"/>
      <c r="J22" s="55"/>
      <c r="K22" s="43"/>
      <c r="L22" s="62"/>
      <c r="M22" s="11">
        <f t="shared" si="0"/>
        <v>0</v>
      </c>
      <c r="N22" s="71"/>
      <c r="O22" s="11">
        <f t="shared" si="0"/>
        <v>0</v>
      </c>
      <c r="P22" s="71"/>
      <c r="Q22" s="11">
        <f t="shared" si="1"/>
        <v>0</v>
      </c>
      <c r="R22" s="71"/>
      <c r="S22" s="11">
        <f t="shared" si="2"/>
        <v>0</v>
      </c>
      <c r="T22" s="71"/>
      <c r="U22" s="11">
        <f t="shared" si="3"/>
        <v>0</v>
      </c>
      <c r="V22" s="72"/>
      <c r="W22" s="11">
        <f t="shared" si="4"/>
        <v>0</v>
      </c>
    </row>
    <row r="23" spans="2:23">
      <c r="B23" s="57"/>
      <c r="C23" s="57"/>
      <c r="D23" s="57"/>
      <c r="E23" s="52">
        <f t="shared" si="5"/>
        <v>0</v>
      </c>
      <c r="F23" s="38"/>
      <c r="G23" s="180"/>
      <c r="H23" s="181"/>
      <c r="I23" s="182"/>
      <c r="J23" s="55"/>
      <c r="K23" s="43"/>
      <c r="L23" s="62"/>
      <c r="M23" s="11">
        <f t="shared" si="0"/>
        <v>0</v>
      </c>
      <c r="N23" s="71"/>
      <c r="O23" s="11">
        <f t="shared" si="0"/>
        <v>0</v>
      </c>
      <c r="P23" s="71"/>
      <c r="Q23" s="11">
        <f t="shared" si="1"/>
        <v>0</v>
      </c>
      <c r="R23" s="71"/>
      <c r="S23" s="11">
        <f t="shared" si="2"/>
        <v>0</v>
      </c>
      <c r="T23" s="71"/>
      <c r="U23" s="11">
        <f t="shared" si="3"/>
        <v>0</v>
      </c>
      <c r="V23" s="72"/>
      <c r="W23" s="11">
        <f t="shared" si="4"/>
        <v>0</v>
      </c>
    </row>
    <row r="24" spans="2:23">
      <c r="B24" s="57"/>
      <c r="C24" s="57"/>
      <c r="D24" s="57"/>
      <c r="E24" s="52">
        <f t="shared" si="5"/>
        <v>0</v>
      </c>
      <c r="F24" s="38"/>
      <c r="G24" s="180"/>
      <c r="H24" s="181"/>
      <c r="I24" s="182"/>
      <c r="J24" s="55"/>
      <c r="K24" s="43"/>
      <c r="L24" s="62"/>
      <c r="M24" s="11">
        <f t="shared" si="0"/>
        <v>0</v>
      </c>
      <c r="N24" s="71"/>
      <c r="O24" s="11">
        <f t="shared" si="0"/>
        <v>0</v>
      </c>
      <c r="P24" s="71"/>
      <c r="Q24" s="11">
        <f t="shared" si="1"/>
        <v>0</v>
      </c>
      <c r="R24" s="71"/>
      <c r="S24" s="11">
        <f t="shared" si="2"/>
        <v>0</v>
      </c>
      <c r="T24" s="71"/>
      <c r="U24" s="11">
        <f t="shared" si="3"/>
        <v>0</v>
      </c>
      <c r="V24" s="72"/>
      <c r="W24" s="11">
        <f t="shared" si="4"/>
        <v>0</v>
      </c>
    </row>
    <row r="25" spans="2:23">
      <c r="B25" s="57"/>
      <c r="C25" s="57"/>
      <c r="D25" s="57"/>
      <c r="E25" s="52">
        <f t="shared" si="5"/>
        <v>0</v>
      </c>
      <c r="F25" s="38"/>
      <c r="G25" s="180"/>
      <c r="H25" s="181"/>
      <c r="I25" s="182"/>
      <c r="J25" s="55"/>
      <c r="K25" s="43"/>
      <c r="L25" s="62"/>
      <c r="M25" s="11">
        <f t="shared" ref="M25:O31" si="6">L25*$J25</f>
        <v>0</v>
      </c>
      <c r="N25" s="71"/>
      <c r="O25" s="11">
        <f t="shared" si="6"/>
        <v>0</v>
      </c>
      <c r="P25" s="71"/>
      <c r="Q25" s="11">
        <f t="shared" si="1"/>
        <v>0</v>
      </c>
      <c r="R25" s="71"/>
      <c r="S25" s="11">
        <f t="shared" si="2"/>
        <v>0</v>
      </c>
      <c r="T25" s="71"/>
      <c r="U25" s="11">
        <f t="shared" si="3"/>
        <v>0</v>
      </c>
      <c r="V25" s="72"/>
      <c r="W25" s="11">
        <f t="shared" si="4"/>
        <v>0</v>
      </c>
    </row>
    <row r="26" spans="2:23">
      <c r="B26" s="57"/>
      <c r="C26" s="57"/>
      <c r="D26" s="57"/>
      <c r="E26" s="52">
        <f t="shared" si="5"/>
        <v>0</v>
      </c>
      <c r="F26" s="38"/>
      <c r="G26" s="180"/>
      <c r="H26" s="181"/>
      <c r="I26" s="182"/>
      <c r="J26" s="55"/>
      <c r="K26" s="43"/>
      <c r="L26" s="62"/>
      <c r="M26" s="11">
        <f t="shared" si="6"/>
        <v>0</v>
      </c>
      <c r="N26" s="71"/>
      <c r="O26" s="11">
        <f t="shared" si="6"/>
        <v>0</v>
      </c>
      <c r="P26" s="71"/>
      <c r="Q26" s="11">
        <f t="shared" si="1"/>
        <v>0</v>
      </c>
      <c r="R26" s="71"/>
      <c r="S26" s="11">
        <f t="shared" si="2"/>
        <v>0</v>
      </c>
      <c r="T26" s="71"/>
      <c r="U26" s="11">
        <f t="shared" si="3"/>
        <v>0</v>
      </c>
      <c r="V26" s="72"/>
      <c r="W26" s="11">
        <f t="shared" si="4"/>
        <v>0</v>
      </c>
    </row>
    <row r="27" spans="2:23">
      <c r="B27" s="57"/>
      <c r="C27" s="57"/>
      <c r="D27" s="57"/>
      <c r="E27" s="52">
        <f t="shared" si="5"/>
        <v>0</v>
      </c>
      <c r="F27" s="38"/>
      <c r="G27" s="180"/>
      <c r="H27" s="181"/>
      <c r="I27" s="182"/>
      <c r="J27" s="55"/>
      <c r="K27" s="43"/>
      <c r="L27" s="62"/>
      <c r="M27" s="11">
        <f t="shared" si="6"/>
        <v>0</v>
      </c>
      <c r="N27" s="71"/>
      <c r="O27" s="11">
        <f t="shared" si="6"/>
        <v>0</v>
      </c>
      <c r="P27" s="71"/>
      <c r="Q27" s="11">
        <f t="shared" si="1"/>
        <v>0</v>
      </c>
      <c r="R27" s="71"/>
      <c r="S27" s="11">
        <f t="shared" si="2"/>
        <v>0</v>
      </c>
      <c r="T27" s="71"/>
      <c r="U27" s="11">
        <f t="shared" si="3"/>
        <v>0</v>
      </c>
      <c r="V27" s="72"/>
      <c r="W27" s="11">
        <f t="shared" si="4"/>
        <v>0</v>
      </c>
    </row>
    <row r="28" spans="2:23">
      <c r="B28" s="57"/>
      <c r="C28" s="57"/>
      <c r="D28" s="57"/>
      <c r="E28" s="52">
        <f t="shared" si="5"/>
        <v>0</v>
      </c>
      <c r="F28" s="38"/>
      <c r="G28" s="180"/>
      <c r="H28" s="181"/>
      <c r="I28" s="182"/>
      <c r="J28" s="55"/>
      <c r="K28" s="43"/>
      <c r="L28" s="62"/>
      <c r="M28" s="11">
        <f t="shared" si="6"/>
        <v>0</v>
      </c>
      <c r="N28" s="71"/>
      <c r="O28" s="11">
        <f t="shared" si="6"/>
        <v>0</v>
      </c>
      <c r="P28" s="71"/>
      <c r="Q28" s="11">
        <f t="shared" si="1"/>
        <v>0</v>
      </c>
      <c r="R28" s="71"/>
      <c r="S28" s="11">
        <f t="shared" si="2"/>
        <v>0</v>
      </c>
      <c r="T28" s="71"/>
      <c r="U28" s="11">
        <f t="shared" si="3"/>
        <v>0</v>
      </c>
      <c r="V28" s="72"/>
      <c r="W28" s="11">
        <f t="shared" si="4"/>
        <v>0</v>
      </c>
    </row>
    <row r="29" spans="2:23">
      <c r="B29" s="57"/>
      <c r="C29" s="57"/>
      <c r="D29" s="57"/>
      <c r="E29" s="52">
        <f t="shared" si="5"/>
        <v>0</v>
      </c>
      <c r="F29" s="38"/>
      <c r="G29" s="180"/>
      <c r="H29" s="181"/>
      <c r="I29" s="182"/>
      <c r="J29" s="55"/>
      <c r="K29" s="43"/>
      <c r="L29" s="62"/>
      <c r="M29" s="11">
        <f t="shared" si="6"/>
        <v>0</v>
      </c>
      <c r="N29" s="71"/>
      <c r="O29" s="11">
        <f t="shared" si="6"/>
        <v>0</v>
      </c>
      <c r="P29" s="71"/>
      <c r="Q29" s="11">
        <f t="shared" si="1"/>
        <v>0</v>
      </c>
      <c r="R29" s="71"/>
      <c r="S29" s="11">
        <f t="shared" si="2"/>
        <v>0</v>
      </c>
      <c r="T29" s="71"/>
      <c r="U29" s="11">
        <f t="shared" si="3"/>
        <v>0</v>
      </c>
      <c r="V29" s="72"/>
      <c r="W29" s="11">
        <f t="shared" si="4"/>
        <v>0</v>
      </c>
    </row>
    <row r="30" spans="2:23">
      <c r="B30" s="57"/>
      <c r="C30" s="57"/>
      <c r="D30" s="57"/>
      <c r="E30" s="52">
        <f t="shared" si="5"/>
        <v>0</v>
      </c>
      <c r="F30" s="38"/>
      <c r="G30" s="180"/>
      <c r="H30" s="181"/>
      <c r="I30" s="182"/>
      <c r="J30" s="55"/>
      <c r="K30" s="43"/>
      <c r="L30" s="62"/>
      <c r="M30" s="11">
        <f t="shared" si="6"/>
        <v>0</v>
      </c>
      <c r="N30" s="71"/>
      <c r="O30" s="11">
        <f t="shared" si="6"/>
        <v>0</v>
      </c>
      <c r="P30" s="71"/>
      <c r="Q30" s="11">
        <f t="shared" si="1"/>
        <v>0</v>
      </c>
      <c r="R30" s="71"/>
      <c r="S30" s="11">
        <f t="shared" si="2"/>
        <v>0</v>
      </c>
      <c r="T30" s="71"/>
      <c r="U30" s="11">
        <f t="shared" si="3"/>
        <v>0</v>
      </c>
      <c r="V30" s="72"/>
      <c r="W30" s="11">
        <f t="shared" si="4"/>
        <v>0</v>
      </c>
    </row>
    <row r="31" spans="2:23" ht="15.75" thickBot="1">
      <c r="B31" s="60"/>
      <c r="C31" s="60"/>
      <c r="D31" s="60"/>
      <c r="E31" s="52">
        <f t="shared" si="5"/>
        <v>0</v>
      </c>
      <c r="F31" s="61"/>
      <c r="G31" s="177"/>
      <c r="H31" s="178"/>
      <c r="I31" s="179"/>
      <c r="J31" s="55"/>
      <c r="K31" s="63"/>
      <c r="L31" s="73"/>
      <c r="M31" s="76">
        <f t="shared" si="6"/>
        <v>0</v>
      </c>
      <c r="N31" s="74"/>
      <c r="O31" s="76">
        <f t="shared" si="6"/>
        <v>0</v>
      </c>
      <c r="P31" s="74"/>
      <c r="Q31" s="76">
        <f t="shared" si="1"/>
        <v>0</v>
      </c>
      <c r="R31" s="74"/>
      <c r="S31" s="76">
        <f t="shared" si="2"/>
        <v>0</v>
      </c>
      <c r="T31" s="74"/>
      <c r="U31" s="76">
        <f t="shared" si="3"/>
        <v>0</v>
      </c>
      <c r="V31" s="75"/>
      <c r="W31" s="76">
        <f t="shared" si="4"/>
        <v>0</v>
      </c>
    </row>
    <row r="32" spans="2:23">
      <c r="B32" s="56">
        <f>SUM(B9:B31)</f>
        <v>0</v>
      </c>
      <c r="C32" s="56">
        <f>SUM(C9:C31)</f>
        <v>0</v>
      </c>
      <c r="D32" s="56">
        <f>SUM(D9:D31)</f>
        <v>0</v>
      </c>
      <c r="E32" s="51">
        <f>SUM(E9:E31)</f>
        <v>0</v>
      </c>
      <c r="F32" s="64"/>
      <c r="G32" s="102" t="s">
        <v>138</v>
      </c>
      <c r="H32" s="103"/>
      <c r="I32" s="104"/>
      <c r="J32" s="65"/>
      <c r="K32" s="65"/>
      <c r="L32" s="66"/>
      <c r="M32" s="67">
        <f>SUM(M9:M31)</f>
        <v>0</v>
      </c>
      <c r="N32" s="68"/>
      <c r="O32" s="69">
        <f>SUM(O9:O31)</f>
        <v>0</v>
      </c>
      <c r="P32" s="68"/>
      <c r="Q32" s="70">
        <f>SUM(Q9:Q31)</f>
        <v>0</v>
      </c>
      <c r="R32" s="68"/>
      <c r="S32" s="69">
        <f>SUM(S9:S31)</f>
        <v>0</v>
      </c>
      <c r="T32" s="68"/>
      <c r="U32" s="70">
        <f>SUM(U9:U31)</f>
        <v>0</v>
      </c>
      <c r="V32" s="68"/>
      <c r="W32" s="69">
        <f>SUM(W9:W31)</f>
        <v>0</v>
      </c>
    </row>
    <row r="33" spans="2:23">
      <c r="B33" s="34"/>
      <c r="C33" s="34"/>
      <c r="D33" s="34"/>
      <c r="E33" s="28"/>
      <c r="F33" s="39"/>
      <c r="G33" s="105" t="s">
        <v>139</v>
      </c>
      <c r="H33" s="106"/>
      <c r="I33" s="107"/>
      <c r="J33" s="31"/>
      <c r="K33" s="31"/>
      <c r="L33" s="46"/>
      <c r="M33" s="16">
        <f>$C$41</f>
        <v>0</v>
      </c>
      <c r="N33" s="15"/>
      <c r="O33" s="16">
        <f>$C$41</f>
        <v>0</v>
      </c>
      <c r="P33" s="15"/>
      <c r="Q33" s="16">
        <f>$C$41</f>
        <v>0</v>
      </c>
      <c r="R33" s="15"/>
      <c r="S33" s="16">
        <f>$C$41</f>
        <v>0</v>
      </c>
      <c r="T33" s="15"/>
      <c r="U33" s="16">
        <f>$C$41</f>
        <v>0</v>
      </c>
      <c r="V33" s="15"/>
      <c r="W33" s="16">
        <f>$C$41</f>
        <v>0</v>
      </c>
    </row>
    <row r="34" spans="2:23" ht="15.75" thickBot="1">
      <c r="B34" s="34"/>
      <c r="C34" s="34"/>
      <c r="D34" s="34"/>
      <c r="E34" s="28"/>
      <c r="F34" s="39"/>
      <c r="G34" s="105" t="s">
        <v>140</v>
      </c>
      <c r="H34" s="106"/>
      <c r="I34" s="107"/>
      <c r="J34" s="31"/>
      <c r="K34" s="31"/>
      <c r="L34" s="47"/>
      <c r="M34" s="17">
        <f>M32*M33</f>
        <v>0</v>
      </c>
      <c r="N34" s="13"/>
      <c r="O34" s="18">
        <f>O32*O33</f>
        <v>0</v>
      </c>
      <c r="P34" s="13"/>
      <c r="Q34" s="17">
        <f>Q32*Q33</f>
        <v>0</v>
      </c>
      <c r="R34" s="13"/>
      <c r="S34" s="18">
        <f>S32*S33</f>
        <v>0</v>
      </c>
      <c r="T34" s="13"/>
      <c r="U34" s="17">
        <f>U32*U33</f>
        <v>0</v>
      </c>
      <c r="V34" s="13"/>
      <c r="W34" s="18">
        <f>W32*W33</f>
        <v>0</v>
      </c>
    </row>
    <row r="35" spans="2:23">
      <c r="B35" s="56">
        <f>B32</f>
        <v>0</v>
      </c>
      <c r="C35" s="56">
        <f>C32</f>
        <v>0</v>
      </c>
      <c r="D35" s="56">
        <f>D32</f>
        <v>0</v>
      </c>
      <c r="E35" s="53">
        <f>SUM(E32)</f>
        <v>0</v>
      </c>
      <c r="F35" s="40"/>
      <c r="G35" s="108" t="s">
        <v>141</v>
      </c>
      <c r="H35" s="109"/>
      <c r="I35" s="110"/>
      <c r="J35" s="33"/>
      <c r="K35" s="33"/>
      <c r="L35" s="48"/>
      <c r="M35" s="20">
        <f>SUM(M32,M34)</f>
        <v>0</v>
      </c>
      <c r="N35" s="19"/>
      <c r="O35" s="20">
        <f>SUM(O32,O34)</f>
        <v>0</v>
      </c>
      <c r="P35" s="19"/>
      <c r="Q35" s="20">
        <f>SUM(Q32,Q34)</f>
        <v>0</v>
      </c>
      <c r="R35" s="19"/>
      <c r="S35" s="20">
        <f>SUM(S32,S34)</f>
        <v>0</v>
      </c>
      <c r="T35" s="19"/>
      <c r="U35" s="20">
        <f>SUM(U32,U34)</f>
        <v>0</v>
      </c>
      <c r="V35" s="19"/>
      <c r="W35" s="20">
        <f>SUM(W32,W34)</f>
        <v>0</v>
      </c>
    </row>
    <row r="36" spans="2:23">
      <c r="B36" s="34"/>
      <c r="C36" s="34"/>
      <c r="D36" s="34"/>
      <c r="E36" s="28"/>
      <c r="F36" s="39"/>
      <c r="G36" s="105" t="s">
        <v>142</v>
      </c>
      <c r="H36" s="106"/>
      <c r="I36" s="107"/>
      <c r="J36" s="31"/>
      <c r="K36" s="31"/>
      <c r="L36" s="47"/>
      <c r="M36" s="17">
        <f>M35-$E$35</f>
        <v>0</v>
      </c>
      <c r="N36" s="13"/>
      <c r="O36" s="17">
        <f>O35-$E$35</f>
        <v>0</v>
      </c>
      <c r="P36" s="13"/>
      <c r="Q36" s="17">
        <f>Q35-$E$35</f>
        <v>0</v>
      </c>
      <c r="R36" s="13"/>
      <c r="S36" s="17">
        <f>S35-$E$35</f>
        <v>0</v>
      </c>
      <c r="T36" s="13"/>
      <c r="U36" s="17">
        <f>U35-$E$35</f>
        <v>0</v>
      </c>
      <c r="V36" s="13"/>
      <c r="W36" s="17">
        <f>W35-$E$35</f>
        <v>0</v>
      </c>
    </row>
    <row r="37" spans="2:23" ht="15.75" thickBot="1">
      <c r="B37" s="35"/>
      <c r="C37" s="35"/>
      <c r="D37" s="35"/>
      <c r="E37" s="27"/>
      <c r="F37" s="41"/>
      <c r="G37" s="93" t="s">
        <v>143</v>
      </c>
      <c r="H37" s="94"/>
      <c r="I37" s="95"/>
      <c r="J37" s="32"/>
      <c r="K37" s="32"/>
      <c r="L37" s="49"/>
      <c r="M37" s="22" t="e">
        <f>M36 / $E$35</f>
        <v>#DIV/0!</v>
      </c>
      <c r="N37" s="21"/>
      <c r="O37" s="22" t="e">
        <f>O36 / $E$35</f>
        <v>#DIV/0!</v>
      </c>
      <c r="P37" s="21"/>
      <c r="Q37" s="22" t="e">
        <f>Q36 / $E$35</f>
        <v>#DIV/0!</v>
      </c>
      <c r="R37" s="21"/>
      <c r="S37" s="22" t="e">
        <f>S36 / $E$35</f>
        <v>#DIV/0!</v>
      </c>
      <c r="T37" s="21"/>
      <c r="U37" s="22" t="e">
        <f>U36 / $E$35</f>
        <v>#DIV/0!</v>
      </c>
      <c r="V37" s="21"/>
      <c r="W37" s="22" t="e">
        <f>W36 / $E$35</f>
        <v>#DIV/0!</v>
      </c>
    </row>
    <row r="41" spans="2:23">
      <c r="B41" s="29" t="s">
        <v>144</v>
      </c>
      <c r="C41" s="30">
        <v>0</v>
      </c>
    </row>
  </sheetData>
  <mergeCells count="79">
    <mergeCell ref="N6:O6"/>
    <mergeCell ref="P6:Q6"/>
    <mergeCell ref="R6:S6"/>
    <mergeCell ref="T6:U6"/>
    <mergeCell ref="V6:W6"/>
    <mergeCell ref="J6:K6"/>
    <mergeCell ref="V2:W2"/>
    <mergeCell ref="J3:K3"/>
    <mergeCell ref="L3:M3"/>
    <mergeCell ref="N3:O3"/>
    <mergeCell ref="P3:Q3"/>
    <mergeCell ref="R3:S3"/>
    <mergeCell ref="T3:U3"/>
    <mergeCell ref="V3:W3"/>
    <mergeCell ref="J2:K2"/>
    <mergeCell ref="L2:M2"/>
    <mergeCell ref="N2:O2"/>
    <mergeCell ref="P2:Q2"/>
    <mergeCell ref="R2:S2"/>
    <mergeCell ref="T2:U2"/>
    <mergeCell ref="L6:M6"/>
    <mergeCell ref="G15:I15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4:K4"/>
    <mergeCell ref="L4:M4"/>
    <mergeCell ref="N4:O4"/>
    <mergeCell ref="P4:Q4"/>
    <mergeCell ref="R4:S4"/>
    <mergeCell ref="V7:W7"/>
    <mergeCell ref="G8:I8"/>
    <mergeCell ref="G9:I9"/>
    <mergeCell ref="G10:I10"/>
    <mergeCell ref="G11:I11"/>
    <mergeCell ref="J7:K7"/>
    <mergeCell ref="L7:M7"/>
    <mergeCell ref="N7:O7"/>
    <mergeCell ref="P7:Q7"/>
    <mergeCell ref="R7:S7"/>
    <mergeCell ref="T7:U7"/>
    <mergeCell ref="G37:I37"/>
    <mergeCell ref="B7:D7"/>
    <mergeCell ref="B3:C3"/>
    <mergeCell ref="B4:C4"/>
    <mergeCell ref="G32:I32"/>
    <mergeCell ref="G33:I33"/>
    <mergeCell ref="G34:I34"/>
    <mergeCell ref="G35:I35"/>
    <mergeCell ref="G36:I36"/>
    <mergeCell ref="G16:I16"/>
    <mergeCell ref="G17:I17"/>
    <mergeCell ref="G20:I20"/>
    <mergeCell ref="G21:I21"/>
    <mergeCell ref="G22:I22"/>
    <mergeCell ref="G18:I18"/>
    <mergeCell ref="G12:I12"/>
    <mergeCell ref="D2:F2"/>
    <mergeCell ref="D3:F3"/>
    <mergeCell ref="D4:F4"/>
    <mergeCell ref="B2:C2"/>
    <mergeCell ref="G31:I31"/>
    <mergeCell ref="G25:I25"/>
    <mergeCell ref="G26:I26"/>
    <mergeCell ref="G27:I27"/>
    <mergeCell ref="G28:I28"/>
    <mergeCell ref="G29:I29"/>
    <mergeCell ref="G30:I30"/>
    <mergeCell ref="G19:I19"/>
    <mergeCell ref="G23:I23"/>
    <mergeCell ref="G24:I24"/>
    <mergeCell ref="G13:I13"/>
    <mergeCell ref="G14:I14"/>
  </mergeCells>
  <conditionalFormatting sqref="M36:M37 O36:O37 Q36:Q37 S36:S37 U36:U37 W36:W37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B1" location="INDEX!A1" display="INDEX" xr:uid="{A2B2BE0B-A948-4B92-904F-9811D093C40F}"/>
  </hyperlinks>
  <pageMargins left="0.45" right="0.45" top="0.5" bottom="0.5" header="0.3" footer="0.3"/>
  <pageSetup scale="4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91ec1d-6707-493c-ba52-69df247957c2">
      <Terms xmlns="http://schemas.microsoft.com/office/infopath/2007/PartnerControls"/>
    </lcf76f155ced4ddcb4097134ff3c332f>
    <TaxCatchAll xmlns="d871cfff-176a-4ebf-a839-0b8ebab30419" xsi:nil="true"/>
    <Tier xmlns="e991ec1d-6707-493c-ba52-69df247957c2">Tier</Ti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2A80570BCC8B47A90D0C57E383DD7C" ma:contentTypeVersion="16" ma:contentTypeDescription="Create a new document." ma:contentTypeScope="" ma:versionID="d2abc4e5a8471a0cd2a37665e5e81ae4">
  <xsd:schema xmlns:xsd="http://www.w3.org/2001/XMLSchema" xmlns:xs="http://www.w3.org/2001/XMLSchema" xmlns:p="http://schemas.microsoft.com/office/2006/metadata/properties" xmlns:ns2="3d05f1d6-b0e6-4141-a598-1f234ead6714" xmlns:ns3="e991ec1d-6707-493c-ba52-69df247957c2" xmlns:ns4="d871cfff-176a-4ebf-a839-0b8ebab30419" targetNamespace="http://schemas.microsoft.com/office/2006/metadata/properties" ma:root="true" ma:fieldsID="ce4b1411c52747888029412117896e19" ns2:_="" ns3:_="" ns4:_="">
    <xsd:import namespace="3d05f1d6-b0e6-4141-a598-1f234ead6714"/>
    <xsd:import namespace="e991ec1d-6707-493c-ba52-69df247957c2"/>
    <xsd:import namespace="d871cfff-176a-4ebf-a839-0b8ebab3041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Tier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f1d6-b0e6-4141-a598-1f234ead67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1ec1d-6707-493c-ba52-69df247957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24dd253f-523f-4b06-ba9d-a724ad43f437" ma:termSetId="00000000-0000-0000-0000-000000000000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Tier" ma:index="14" nillable="true" ma:displayName="Tier" ma:default="Tier" ma:format="Dropdown" ma:internalName="Tier">
      <xsd:simpleType>
        <xsd:restriction base="dms:Text">
          <xsd:maxLength value="255"/>
        </xsd:restriction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1cfff-176a-4ebf-a839-0b8ebab304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d3f2fbd-1a59-4ff4-b37d-dc5ba54b1c9a}" ma:internalName="TaxCatchAll" ma:showField="CatchAllData" ma:web="d871cfff-176a-4ebf-a839-0b8ebab30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CAB6C1-9E67-4927-A0E9-071C78A1F97A}"/>
</file>

<file path=customXml/itemProps2.xml><?xml version="1.0" encoding="utf-8"?>
<ds:datastoreItem xmlns:ds="http://schemas.openxmlformats.org/officeDocument/2006/customXml" ds:itemID="{531A318B-BADB-43F8-871C-6E0C54002D1A}"/>
</file>

<file path=customXml/itemProps3.xml><?xml version="1.0" encoding="utf-8"?>
<ds:datastoreItem xmlns:ds="http://schemas.openxmlformats.org/officeDocument/2006/customXml" ds:itemID="{88F64670-6C73-4CF9-A3B0-412A97D5159F}"/>
</file>

<file path=customXml/itemProps4.xml><?xml version="1.0" encoding="utf-8"?>
<ds:datastoreItem xmlns:ds="http://schemas.openxmlformats.org/officeDocument/2006/customXml" ds:itemID="{10EBB188-FEDD-4A2A-A0E9-FEC9DA538D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Urness</dc:creator>
  <cp:keywords/>
  <dc:description/>
  <cp:lastModifiedBy>Calvin Hayes</cp:lastModifiedBy>
  <cp:revision/>
  <dcterms:created xsi:type="dcterms:W3CDTF">2023-12-29T18:20:00Z</dcterms:created>
  <dcterms:modified xsi:type="dcterms:W3CDTF">2026-06-13T17:17:53Z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{A6CAB6C1-9E67-4927-A0E9-071C78A1F97A}</vt:lpwstr>
  </property>
  <property fmtid="{D5CDD505-2E9C-101B-9397-08002B2CF9AE}" pid="5" name="MediaServiceImageTags">
    <vt:lpwstr/>
  </property>
  <property fmtid="{D5CDD505-2E9C-101B-9397-08002B2CF9AE}" pid="6" name="ContentTypeId">
    <vt:lpwstr>0x010100B52A80570BCC8B47A90D0C57E383DD7C</vt:lpwstr>
  </property>
</Properties>
</file>