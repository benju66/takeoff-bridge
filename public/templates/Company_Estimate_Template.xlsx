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Urness\Downloads\"/>
    </mc:Choice>
  </mc:AlternateContent>
  <xr:revisionPtr revIDLastSave="0" documentId="8_{C0ACC2E2-B82B-4B34-9FF2-A0810F303162}" xr6:coauthVersionLast="47" xr6:coauthVersionMax="47" xr10:uidLastSave="{00000000-0000-0000-0000-000000000000}"/>
  <bookViews>
    <workbookView xWindow="-80" yWindow="-80" windowWidth="19360" windowHeight="11440" tabRatio="796" activeTab="6" xr2:uid="{CC8F760A-0830-4527-A091-3EC2E09C44C0}"/>
  </bookViews>
  <sheets>
    <sheet name="TODO" sheetId="30" r:id="rId1"/>
    <sheet name="US_Holidays__2025_2034_" sheetId="31" state="hidden" r:id="rId2"/>
    <sheet name="COVER" sheetId="37" r:id="rId3"/>
    <sheet name="STEP 1 - PROJECT DATA" sheetId="2" r:id="rId4"/>
    <sheet name="STEP 2 - GCs" sheetId="14" r:id="rId5"/>
    <sheet name="STEP 3 - SITE OPS" sheetId="20" r:id="rId6"/>
    <sheet name="STEP 4 - ESTIMATE" sheetId="15" r:id="rId7"/>
    <sheet name="VEs_ALTS_MF" sheetId="23" r:id="rId8"/>
    <sheet name="VEs_ALTS_COMMERCIAL " sheetId="38" r:id="rId9"/>
    <sheet name="WINTER CONDITIONS" sheetId="25" r:id="rId10"/>
    <sheet name="CLARIFICATIONS" sheetId="26" r:id="rId11"/>
    <sheet name="PER DIEM" sheetId="36" r:id="rId12"/>
    <sheet name="TOWER CRANE" sheetId="33" r:id="rId13"/>
    <sheet name="SKIP" sheetId="34" r:id="rId14"/>
    <sheet name="STREET CLOSURES" sheetId="35" r:id="rId15"/>
    <sheet name="STORM RETENTION" sheetId="32" r:id="rId16"/>
    <sheet name="Budget Line Items" sheetId="28" r:id="rId17"/>
    <sheet name="Importer Data Fields" sheetId="29" r:id="rId18"/>
  </sheets>
  <externalReferences>
    <externalReference r:id="rId19"/>
    <externalReference r:id="rId20"/>
    <externalReference r:id="rId21"/>
  </externalReferences>
  <definedNames>
    <definedName name="_xlnm._FilterDatabase" localSheetId="16" hidden="1">'Budget Line Items'!$A$1:$K$218</definedName>
    <definedName name="_xlnm._FilterDatabase" localSheetId="2" hidden="1">COVER!$B$9:$J$79</definedName>
    <definedName name="_xlnm._FilterDatabase" localSheetId="11" hidden="1">'PER DIEM'!$B$9:$J$48</definedName>
    <definedName name="_xlnm._FilterDatabase" localSheetId="3" hidden="1">'STEP 1 - PROJECT DATA'!$J$3:$L$12</definedName>
    <definedName name="_xlnm._FilterDatabase" localSheetId="4" hidden="1">'STEP 2 - GCs'!$B$9:$J$58</definedName>
    <definedName name="_xlnm._FilterDatabase" localSheetId="5" hidden="1">'STEP 3 - SITE OPS'!$B$9:$J$82</definedName>
    <definedName name="_xlnm._FilterDatabase" localSheetId="6" hidden="1">'STEP 4 - ESTIMATE'!$A$9:$K$330</definedName>
    <definedName name="_xlnm._FilterDatabase" localSheetId="8" hidden="1">'VEs_ALTS_COMMERCIAL '!$C$9:$F$166</definedName>
    <definedName name="_xlnm._FilterDatabase" localSheetId="7" hidden="1">VEs_ALTS_MF!$C$9:$L$166</definedName>
    <definedName name="_xlnm._FilterDatabase" localSheetId="9" hidden="1">'WINTER CONDITIONS'!$C$9:$Q$27</definedName>
    <definedName name="Canopy">'[1]Rough Carpentry'!#REF!</definedName>
    <definedName name="_xlnm.Criteria">#REF!</definedName>
    <definedName name="Decks">'[1]Rough Carpentry'!#REF!</definedName>
    <definedName name="GROSS">[2]Preliminary!$F$17</definedName>
    <definedName name="GSF">'[1]Length &amp; Area'!$B$20</definedName>
    <definedName name="Location">'[1]Project Information'!$B$5</definedName>
    <definedName name="_xlnm.Print_Area" localSheetId="2">COVER!$B$2:$K$80</definedName>
    <definedName name="_xlnm.Print_Area" localSheetId="11">'PER DIEM'!$B$1:$K$49</definedName>
    <definedName name="_xlnm.Print_Area" localSheetId="13">SKIP!$A$1:$L$80</definedName>
    <definedName name="_xlnm.Print_Area" localSheetId="3">'STEP 1 - PROJECT DATA'!$A$1:$I$52</definedName>
    <definedName name="_xlnm.Print_Area" localSheetId="4">'STEP 2 - GCs'!$B$1:$K$59</definedName>
    <definedName name="_xlnm.Print_Area" localSheetId="5">'STEP 3 - SITE OPS'!$B$1:$K$83</definedName>
    <definedName name="_xlnm.Print_Area" localSheetId="6">'STEP 4 - ESTIMATE'!$B$2:$L$342</definedName>
    <definedName name="_xlnm.Print_Area" localSheetId="12">'TOWER CRANE'!$A$1:$L$65</definedName>
    <definedName name="_xlnm.Print_Area" localSheetId="8">'VEs_ALTS_COMMERCIAL '!$B$2:$G$167</definedName>
    <definedName name="_xlnm.Print_Titles" localSheetId="8">'VEs_ALTS_COMMERCIAL '!$2:$8</definedName>
    <definedName name="_xlnm.Print_Titles" localSheetId="7">VEs_ALTS_MF!$2:$8</definedName>
    <definedName name="_xlnm.Print_Titles" localSheetId="9">'WINTER CONDITIONS'!$2:$8</definedName>
    <definedName name="Project">'[1]Project Information'!$B$4</definedName>
    <definedName name="Subtotal" localSheetId="2">'[3]STEP 1 - PROJECT DATA'!$B$7</definedName>
    <definedName name="Subtotal">'STEP 1 - PROJECT DATA'!$B$7</definedName>
    <definedName name="Surcharge_Warranty" localSheetId="2">'[3]STEP 1 - PROJECT DATA'!$B$14</definedName>
    <definedName name="Surcharge_Warranty">'STEP 1 - PROJECT DATA'!$B$14</definedName>
    <definedName name="ToiletAccessories">'[1]Interior Takeoff'!#REF!</definedName>
    <definedName name="Units">'[1]Unit Counts'!$J$35</definedName>
    <definedName name="Units2">[2]Preliminary!$I$20</definedName>
    <definedName name="WORK_ITEM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1" i="15" l="1"/>
  <c r="I204" i="15"/>
  <c r="I236" i="15"/>
  <c r="G14" i="23" l="1"/>
  <c r="G13" i="23"/>
  <c r="G12" i="23"/>
  <c r="G11" i="23"/>
  <c r="I15" i="23"/>
  <c r="E10" i="23"/>
  <c r="D20" i="2"/>
  <c r="D19" i="2"/>
  <c r="D43" i="2"/>
  <c r="N11" i="38"/>
  <c r="D165" i="38"/>
  <c r="D164" i="38"/>
  <c r="D163" i="38"/>
  <c r="D162" i="38"/>
  <c r="D161" i="38"/>
  <c r="D159" i="38"/>
  <c r="D158" i="38"/>
  <c r="D157" i="38"/>
  <c r="D156" i="38"/>
  <c r="D155" i="38"/>
  <c r="D153" i="38"/>
  <c r="D152" i="38"/>
  <c r="D151" i="38"/>
  <c r="D150" i="38"/>
  <c r="D149" i="38"/>
  <c r="D147" i="38"/>
  <c r="D146" i="38"/>
  <c r="D145" i="38"/>
  <c r="D144" i="38"/>
  <c r="D143" i="38"/>
  <c r="D141" i="38"/>
  <c r="D140" i="38"/>
  <c r="D139" i="38"/>
  <c r="D138" i="38"/>
  <c r="D137" i="38"/>
  <c r="D135" i="38"/>
  <c r="D134" i="38"/>
  <c r="D133" i="38"/>
  <c r="D132" i="38"/>
  <c r="D131" i="38"/>
  <c r="D129" i="38"/>
  <c r="D128" i="38"/>
  <c r="D127" i="38"/>
  <c r="D126" i="38"/>
  <c r="D125" i="38"/>
  <c r="D123" i="38"/>
  <c r="D122" i="38"/>
  <c r="D121" i="38"/>
  <c r="D120" i="38"/>
  <c r="D119" i="38"/>
  <c r="D117" i="38"/>
  <c r="D116" i="38"/>
  <c r="D115" i="38"/>
  <c r="D114" i="38"/>
  <c r="D113" i="38"/>
  <c r="D111" i="38"/>
  <c r="D110" i="38"/>
  <c r="D109" i="38"/>
  <c r="D108" i="38"/>
  <c r="D107" i="38"/>
  <c r="D105" i="38"/>
  <c r="D104" i="38"/>
  <c r="D103" i="38"/>
  <c r="D102" i="38"/>
  <c r="D101" i="38"/>
  <c r="D99" i="38"/>
  <c r="D98" i="38"/>
  <c r="D97" i="38"/>
  <c r="D96" i="38"/>
  <c r="D95" i="38"/>
  <c r="D93" i="38"/>
  <c r="D92" i="38"/>
  <c r="D91" i="38"/>
  <c r="D90" i="38"/>
  <c r="D89" i="38"/>
  <c r="D87" i="38"/>
  <c r="D86" i="38"/>
  <c r="D85" i="38"/>
  <c r="D84" i="38"/>
  <c r="D83" i="38"/>
  <c r="D81" i="38"/>
  <c r="D80" i="38"/>
  <c r="D79" i="38"/>
  <c r="D78" i="38"/>
  <c r="D77" i="38"/>
  <c r="D75" i="38"/>
  <c r="D74" i="38"/>
  <c r="D73" i="38"/>
  <c r="D72" i="38"/>
  <c r="D71" i="38"/>
  <c r="D69" i="38"/>
  <c r="D68" i="38"/>
  <c r="D67" i="38"/>
  <c r="D66" i="38"/>
  <c r="D65" i="38"/>
  <c r="D63" i="38"/>
  <c r="D62" i="38"/>
  <c r="D61" i="38"/>
  <c r="D60" i="38"/>
  <c r="D59" i="38"/>
  <c r="D57" i="38"/>
  <c r="D56" i="38"/>
  <c r="D55" i="38"/>
  <c r="D54" i="38"/>
  <c r="D53" i="38"/>
  <c r="D51" i="38"/>
  <c r="D50" i="38"/>
  <c r="D49" i="38"/>
  <c r="D48" i="38"/>
  <c r="D47" i="38"/>
  <c r="D45" i="38"/>
  <c r="D44" i="38"/>
  <c r="D43" i="38"/>
  <c r="D42" i="38"/>
  <c r="D41" i="38"/>
  <c r="D39" i="38"/>
  <c r="D38" i="38"/>
  <c r="D37" i="38"/>
  <c r="D36" i="38"/>
  <c r="D35" i="38"/>
  <c r="D33" i="38"/>
  <c r="D32" i="38"/>
  <c r="D31" i="38"/>
  <c r="D30" i="38"/>
  <c r="D29" i="38"/>
  <c r="D27" i="38"/>
  <c r="D26" i="38"/>
  <c r="D25" i="38"/>
  <c r="D24" i="38"/>
  <c r="D23" i="38"/>
  <c r="D21" i="38"/>
  <c r="D20" i="38"/>
  <c r="D19" i="38"/>
  <c r="D18" i="38"/>
  <c r="D17" i="38"/>
  <c r="D12" i="38"/>
  <c r="D13" i="38"/>
  <c r="D14" i="38"/>
  <c r="D15" i="38"/>
  <c r="D11" i="38"/>
  <c r="M165" i="38"/>
  <c r="N164" i="38"/>
  <c r="F164" i="38" s="1"/>
  <c r="A164" i="38" s="1"/>
  <c r="N163" i="38"/>
  <c r="F163" i="38" s="1"/>
  <c r="A163" i="38" s="1"/>
  <c r="N162" i="38"/>
  <c r="F162" i="38" s="1"/>
  <c r="A162" i="38" s="1"/>
  <c r="N161" i="38"/>
  <c r="C160" i="38"/>
  <c r="M159" i="38"/>
  <c r="N158" i="38"/>
  <c r="F158" i="38" s="1"/>
  <c r="A158" i="38" s="1"/>
  <c r="N157" i="38"/>
  <c r="F157" i="38" s="1"/>
  <c r="A157" i="38" s="1"/>
  <c r="N156" i="38"/>
  <c r="F156" i="38" s="1"/>
  <c r="A156" i="38" s="1"/>
  <c r="N155" i="38"/>
  <c r="F155" i="38" s="1"/>
  <c r="A155" i="38" s="1"/>
  <c r="C154" i="38"/>
  <c r="M153" i="38"/>
  <c r="N152" i="38"/>
  <c r="F152" i="38" s="1"/>
  <c r="A152" i="38" s="1"/>
  <c r="N151" i="38"/>
  <c r="F151" i="38" s="1"/>
  <c r="A151" i="38" s="1"/>
  <c r="N150" i="38"/>
  <c r="F150" i="38" s="1"/>
  <c r="A150" i="38" s="1"/>
  <c r="N149" i="38"/>
  <c r="F149" i="38" s="1"/>
  <c r="A149" i="38" s="1"/>
  <c r="C148" i="38"/>
  <c r="M147" i="38"/>
  <c r="N146" i="38"/>
  <c r="F146" i="38" s="1"/>
  <c r="A146" i="38" s="1"/>
  <c r="N145" i="38"/>
  <c r="F145" i="38" s="1"/>
  <c r="A145" i="38" s="1"/>
  <c r="N144" i="38"/>
  <c r="F144" i="38" s="1"/>
  <c r="A144" i="38" s="1"/>
  <c r="N143" i="38"/>
  <c r="F143" i="38" s="1"/>
  <c r="A143" i="38" s="1"/>
  <c r="C142" i="38"/>
  <c r="M141" i="38"/>
  <c r="N140" i="38"/>
  <c r="F140" i="38" s="1"/>
  <c r="A140" i="38" s="1"/>
  <c r="N139" i="38"/>
  <c r="F139" i="38" s="1"/>
  <c r="A139" i="38" s="1"/>
  <c r="N138" i="38"/>
  <c r="F138" i="38" s="1"/>
  <c r="A138" i="38" s="1"/>
  <c r="N137" i="38"/>
  <c r="F137" i="38" s="1"/>
  <c r="A137" i="38" s="1"/>
  <c r="C136" i="38"/>
  <c r="M135" i="38"/>
  <c r="N134" i="38"/>
  <c r="F134" i="38" s="1"/>
  <c r="A134" i="38" s="1"/>
  <c r="N133" i="38"/>
  <c r="F133" i="38" s="1"/>
  <c r="A133" i="38" s="1"/>
  <c r="N132" i="38"/>
  <c r="N131" i="38"/>
  <c r="F131" i="38" s="1"/>
  <c r="A131" i="38" s="1"/>
  <c r="C130" i="38"/>
  <c r="M129" i="38"/>
  <c r="N128" i="38"/>
  <c r="F128" i="38" s="1"/>
  <c r="A128" i="38" s="1"/>
  <c r="N127" i="38"/>
  <c r="F127" i="38" s="1"/>
  <c r="A127" i="38" s="1"/>
  <c r="N126" i="38"/>
  <c r="F126" i="38" s="1"/>
  <c r="A126" i="38" s="1"/>
  <c r="N125" i="38"/>
  <c r="F125" i="38" s="1"/>
  <c r="A125" i="38" s="1"/>
  <c r="C124" i="38"/>
  <c r="M123" i="38"/>
  <c r="N122" i="38"/>
  <c r="F122" i="38" s="1"/>
  <c r="A122" i="38" s="1"/>
  <c r="N121" i="38"/>
  <c r="F121" i="38" s="1"/>
  <c r="A121" i="38" s="1"/>
  <c r="N120" i="38"/>
  <c r="F120" i="38" s="1"/>
  <c r="A120" i="38" s="1"/>
  <c r="N119" i="38"/>
  <c r="F119" i="38" s="1"/>
  <c r="A119" i="38" s="1"/>
  <c r="C118" i="38"/>
  <c r="M117" i="38"/>
  <c r="N116" i="38"/>
  <c r="F116" i="38" s="1"/>
  <c r="A116" i="38" s="1"/>
  <c r="N115" i="38"/>
  <c r="F115" i="38" s="1"/>
  <c r="A115" i="38" s="1"/>
  <c r="N114" i="38"/>
  <c r="F114" i="38" s="1"/>
  <c r="A114" i="38" s="1"/>
  <c r="N113" i="38"/>
  <c r="F113" i="38" s="1"/>
  <c r="A113" i="38" s="1"/>
  <c r="C112" i="38"/>
  <c r="M111" i="38"/>
  <c r="N110" i="38"/>
  <c r="F110" i="38" s="1"/>
  <c r="A110" i="38" s="1"/>
  <c r="N109" i="38"/>
  <c r="F109" i="38" s="1"/>
  <c r="A109" i="38" s="1"/>
  <c r="N108" i="38"/>
  <c r="F108" i="38" s="1"/>
  <c r="A108" i="38" s="1"/>
  <c r="N107" i="38"/>
  <c r="F107" i="38" s="1"/>
  <c r="A107" i="38" s="1"/>
  <c r="C106" i="38"/>
  <c r="M105" i="38"/>
  <c r="N104" i="38"/>
  <c r="F104" i="38" s="1"/>
  <c r="A104" i="38" s="1"/>
  <c r="N103" i="38"/>
  <c r="F103" i="38" s="1"/>
  <c r="A103" i="38" s="1"/>
  <c r="N102" i="38"/>
  <c r="F102" i="38" s="1"/>
  <c r="A102" i="38" s="1"/>
  <c r="N101" i="38"/>
  <c r="F101" i="38" s="1"/>
  <c r="A101" i="38" s="1"/>
  <c r="C100" i="38"/>
  <c r="M99" i="38"/>
  <c r="N98" i="38"/>
  <c r="F98" i="38" s="1"/>
  <c r="A98" i="38" s="1"/>
  <c r="N97" i="38"/>
  <c r="F97" i="38" s="1"/>
  <c r="A97" i="38" s="1"/>
  <c r="N96" i="38"/>
  <c r="F96" i="38" s="1"/>
  <c r="A96" i="38" s="1"/>
  <c r="N95" i="38"/>
  <c r="F95" i="38" s="1"/>
  <c r="A95" i="38" s="1"/>
  <c r="C94" i="38"/>
  <c r="M93" i="38"/>
  <c r="N92" i="38"/>
  <c r="F92" i="38" s="1"/>
  <c r="A92" i="38" s="1"/>
  <c r="N91" i="38"/>
  <c r="F91" i="38" s="1"/>
  <c r="A91" i="38" s="1"/>
  <c r="N90" i="38"/>
  <c r="F90" i="38" s="1"/>
  <c r="A90" i="38" s="1"/>
  <c r="N89" i="38"/>
  <c r="F89" i="38" s="1"/>
  <c r="A89" i="38" s="1"/>
  <c r="C88" i="38"/>
  <c r="M87" i="38"/>
  <c r="N86" i="38"/>
  <c r="F86" i="38" s="1"/>
  <c r="A86" i="38" s="1"/>
  <c r="N85" i="38"/>
  <c r="F85" i="38" s="1"/>
  <c r="A85" i="38" s="1"/>
  <c r="N84" i="38"/>
  <c r="F84" i="38" s="1"/>
  <c r="A84" i="38" s="1"/>
  <c r="N83" i="38"/>
  <c r="F83" i="38" s="1"/>
  <c r="A83" i="38" s="1"/>
  <c r="C82" i="38"/>
  <c r="M81" i="38"/>
  <c r="N80" i="38"/>
  <c r="F80" i="38" s="1"/>
  <c r="A80" i="38" s="1"/>
  <c r="N79" i="38"/>
  <c r="F79" i="38" s="1"/>
  <c r="A79" i="38" s="1"/>
  <c r="N78" i="38"/>
  <c r="F78" i="38" s="1"/>
  <c r="A78" i="38" s="1"/>
  <c r="N77" i="38"/>
  <c r="F77" i="38" s="1"/>
  <c r="A77" i="38" s="1"/>
  <c r="C76" i="38"/>
  <c r="M75" i="38"/>
  <c r="N74" i="38"/>
  <c r="F74" i="38" s="1"/>
  <c r="A74" i="38" s="1"/>
  <c r="N73" i="38"/>
  <c r="F73" i="38" s="1"/>
  <c r="A73" i="38" s="1"/>
  <c r="N72" i="38"/>
  <c r="F72" i="38" s="1"/>
  <c r="A72" i="38" s="1"/>
  <c r="N71" i="38"/>
  <c r="F71" i="38" s="1"/>
  <c r="A71" i="38" s="1"/>
  <c r="C70" i="38"/>
  <c r="M69" i="38"/>
  <c r="N68" i="38"/>
  <c r="F68" i="38" s="1"/>
  <c r="A68" i="38" s="1"/>
  <c r="N67" i="38"/>
  <c r="F67" i="38" s="1"/>
  <c r="A67" i="38" s="1"/>
  <c r="N66" i="38"/>
  <c r="F66" i="38" s="1"/>
  <c r="A66" i="38" s="1"/>
  <c r="N65" i="38"/>
  <c r="F65" i="38" s="1"/>
  <c r="A65" i="38" s="1"/>
  <c r="C64" i="38"/>
  <c r="M63" i="38"/>
  <c r="N62" i="38"/>
  <c r="F62" i="38" s="1"/>
  <c r="A62" i="38" s="1"/>
  <c r="N61" i="38"/>
  <c r="F61" i="38" s="1"/>
  <c r="A61" i="38" s="1"/>
  <c r="N60" i="38"/>
  <c r="F60" i="38" s="1"/>
  <c r="A60" i="38" s="1"/>
  <c r="N59" i="38"/>
  <c r="F59" i="38" s="1"/>
  <c r="A59" i="38" s="1"/>
  <c r="C58" i="38"/>
  <c r="M57" i="38"/>
  <c r="N56" i="38"/>
  <c r="F56" i="38" s="1"/>
  <c r="A56" i="38" s="1"/>
  <c r="N55" i="38"/>
  <c r="F55" i="38" s="1"/>
  <c r="A55" i="38" s="1"/>
  <c r="N54" i="38"/>
  <c r="F54" i="38" s="1"/>
  <c r="A54" i="38" s="1"/>
  <c r="N53" i="38"/>
  <c r="C52" i="38"/>
  <c r="M51" i="38"/>
  <c r="N50" i="38"/>
  <c r="F50" i="38" s="1"/>
  <c r="A50" i="38" s="1"/>
  <c r="N49" i="38"/>
  <c r="F49" i="38" s="1"/>
  <c r="A49" i="38" s="1"/>
  <c r="N48" i="38"/>
  <c r="F48" i="38" s="1"/>
  <c r="A48" i="38" s="1"/>
  <c r="N47" i="38"/>
  <c r="F47" i="38" s="1"/>
  <c r="A47" i="38" s="1"/>
  <c r="C46" i="38"/>
  <c r="M45" i="38"/>
  <c r="N44" i="38"/>
  <c r="F44" i="38" s="1"/>
  <c r="A44" i="38" s="1"/>
  <c r="N43" i="38"/>
  <c r="F43" i="38" s="1"/>
  <c r="A43" i="38" s="1"/>
  <c r="N42" i="38"/>
  <c r="F42" i="38" s="1"/>
  <c r="A42" i="38" s="1"/>
  <c r="N41" i="38"/>
  <c r="F41" i="38" s="1"/>
  <c r="A41" i="38" s="1"/>
  <c r="C40" i="38"/>
  <c r="M39" i="38"/>
  <c r="N38" i="38"/>
  <c r="F38" i="38" s="1"/>
  <c r="A38" i="38" s="1"/>
  <c r="N37" i="38"/>
  <c r="F37" i="38" s="1"/>
  <c r="A37" i="38" s="1"/>
  <c r="N36" i="38"/>
  <c r="F36" i="38" s="1"/>
  <c r="A36" i="38" s="1"/>
  <c r="N35" i="38"/>
  <c r="F35" i="38" s="1"/>
  <c r="A35" i="38" s="1"/>
  <c r="C34" i="38"/>
  <c r="M33" i="38"/>
  <c r="N32" i="38"/>
  <c r="F32" i="38" s="1"/>
  <c r="A32" i="38" s="1"/>
  <c r="N31" i="38"/>
  <c r="F31" i="38" s="1"/>
  <c r="A31" i="38" s="1"/>
  <c r="N30" i="38"/>
  <c r="F30" i="38" s="1"/>
  <c r="A30" i="38" s="1"/>
  <c r="N29" i="38"/>
  <c r="F29" i="38" s="1"/>
  <c r="A29" i="38" s="1"/>
  <c r="C28" i="38"/>
  <c r="M27" i="38"/>
  <c r="N26" i="38"/>
  <c r="F26" i="38" s="1"/>
  <c r="A26" i="38" s="1"/>
  <c r="N25" i="38"/>
  <c r="F25" i="38" s="1"/>
  <c r="A25" i="38" s="1"/>
  <c r="N24" i="38"/>
  <c r="F24" i="38" s="1"/>
  <c r="A24" i="38" s="1"/>
  <c r="N23" i="38"/>
  <c r="F23" i="38" s="1"/>
  <c r="A23" i="38" s="1"/>
  <c r="C22" i="38"/>
  <c r="N18" i="38"/>
  <c r="N19" i="38"/>
  <c r="N20" i="38"/>
  <c r="N17" i="38"/>
  <c r="F17" i="38" s="1"/>
  <c r="A17" i="38" s="1"/>
  <c r="N12" i="38"/>
  <c r="F12" i="38" s="1"/>
  <c r="A12" i="38" s="1"/>
  <c r="N13" i="38"/>
  <c r="F13" i="38" s="1"/>
  <c r="A13" i="38" s="1"/>
  <c r="N14" i="38"/>
  <c r="F14" i="38" s="1"/>
  <c r="A14" i="38" s="1"/>
  <c r="M21" i="38"/>
  <c r="C16" i="38"/>
  <c r="C10" i="38"/>
  <c r="M15" i="38"/>
  <c r="L3" i="23"/>
  <c r="C2" i="38"/>
  <c r="C33" i="37"/>
  <c r="C31" i="37"/>
  <c r="N165" i="38" l="1"/>
  <c r="F165" i="38" s="1"/>
  <c r="F161" i="38"/>
  <c r="A161" i="38" s="1"/>
  <c r="M166" i="38"/>
  <c r="N159" i="38"/>
  <c r="F159" i="38" s="1"/>
  <c r="N15" i="38"/>
  <c r="F15" i="38" s="1"/>
  <c r="A15" i="38" s="1"/>
  <c r="N153" i="38"/>
  <c r="F153" i="38" s="1"/>
  <c r="N39" i="38"/>
  <c r="F39" i="38" s="1"/>
  <c r="N105" i="38"/>
  <c r="F105" i="38" s="1"/>
  <c r="N33" i="38"/>
  <c r="F33" i="38" s="1"/>
  <c r="N69" i="38"/>
  <c r="F69" i="38" s="1"/>
  <c r="N27" i="38"/>
  <c r="F27" i="38" s="1"/>
  <c r="N99" i="38"/>
  <c r="F99" i="38" s="1"/>
  <c r="N117" i="38"/>
  <c r="F117" i="38" s="1"/>
  <c r="N57" i="38"/>
  <c r="F57" i="38" s="1"/>
  <c r="F19" i="38"/>
  <c r="A19" i="38" s="1"/>
  <c r="N81" i="38"/>
  <c r="F81" i="38" s="1"/>
  <c r="N123" i="38"/>
  <c r="F123" i="38" s="1"/>
  <c r="N135" i="38"/>
  <c r="F135" i="38" s="1"/>
  <c r="N51" i="38"/>
  <c r="F51" i="38" s="1"/>
  <c r="N129" i="38"/>
  <c r="F129" i="38" s="1"/>
  <c r="F132" i="38"/>
  <c r="A132" i="38" s="1"/>
  <c r="N141" i="38"/>
  <c r="F141" i="38" s="1"/>
  <c r="N111" i="38"/>
  <c r="F111" i="38" s="1"/>
  <c r="N147" i="38"/>
  <c r="N63" i="38"/>
  <c r="F63" i="38" s="1"/>
  <c r="N75" i="38"/>
  <c r="F75" i="38" s="1"/>
  <c r="N87" i="38"/>
  <c r="F87" i="38" s="1"/>
  <c r="N93" i="38"/>
  <c r="F93" i="38" s="1"/>
  <c r="F53" i="38"/>
  <c r="A53" i="38" s="1"/>
  <c r="N45" i="38"/>
  <c r="F45" i="38" s="1"/>
  <c r="F20" i="38"/>
  <c r="A20" i="38" s="1"/>
  <c r="F11" i="38"/>
  <c r="A11" i="38" s="1"/>
  <c r="F18" i="38"/>
  <c r="A18" i="38" s="1"/>
  <c r="D42" i="2"/>
  <c r="D41" i="2"/>
  <c r="D40" i="2"/>
  <c r="D39" i="2"/>
  <c r="D38" i="2"/>
  <c r="D37" i="2"/>
  <c r="D36" i="2"/>
  <c r="H39" i="14"/>
  <c r="T159" i="15"/>
  <c r="I123" i="15"/>
  <c r="J7" i="15"/>
  <c r="J8" i="15"/>
  <c r="J81" i="15" s="1"/>
  <c r="K86" i="2"/>
  <c r="E86" i="2"/>
  <c r="K87" i="2" s="1"/>
  <c r="K84" i="2"/>
  <c r="K82" i="2"/>
  <c r="K79" i="2"/>
  <c r="K78" i="2"/>
  <c r="K74" i="2"/>
  <c r="K72" i="2"/>
  <c r="K70" i="2"/>
  <c r="K68" i="2"/>
  <c r="K64" i="2"/>
  <c r="K62" i="2"/>
  <c r="K60" i="2"/>
  <c r="K59" i="2"/>
  <c r="K58" i="2"/>
  <c r="K57" i="2"/>
  <c r="E85" i="2"/>
  <c r="E84" i="2"/>
  <c r="K76" i="2" s="1"/>
  <c r="E83" i="2"/>
  <c r="E82" i="2"/>
  <c r="E81" i="2"/>
  <c r="K81" i="2" s="1"/>
  <c r="E80" i="2"/>
  <c r="K66" i="2" s="1"/>
  <c r="E77" i="2"/>
  <c r="E78" i="2"/>
  <c r="E79" i="2"/>
  <c r="E75" i="2"/>
  <c r="D87" i="2"/>
  <c r="D57" i="2"/>
  <c r="J236" i="15" l="1"/>
  <c r="J204" i="15"/>
  <c r="F82" i="38"/>
  <c r="A82" i="38" s="1"/>
  <c r="A87" i="38"/>
  <c r="A99" i="38"/>
  <c r="F94" i="38"/>
  <c r="A94" i="38" s="1"/>
  <c r="F160" i="38"/>
  <c r="A160" i="38" s="1"/>
  <c r="A165" i="38"/>
  <c r="F154" i="38"/>
  <c r="A154" i="38" s="1"/>
  <c r="A159" i="38"/>
  <c r="F148" i="38"/>
  <c r="A148" i="38" s="1"/>
  <c r="A153" i="38"/>
  <c r="F136" i="38"/>
  <c r="A136" i="38" s="1"/>
  <c r="A141" i="38"/>
  <c r="F130" i="38"/>
  <c r="A130" i="38" s="1"/>
  <c r="A135" i="38"/>
  <c r="F124" i="38"/>
  <c r="A124" i="38" s="1"/>
  <c r="A129" i="38"/>
  <c r="F118" i="38"/>
  <c r="A118" i="38" s="1"/>
  <c r="A123" i="38"/>
  <c r="F112" i="38"/>
  <c r="A112" i="38" s="1"/>
  <c r="A117" i="38"/>
  <c r="A111" i="38"/>
  <c r="F106" i="38"/>
  <c r="A106" i="38" s="1"/>
  <c r="A105" i="38"/>
  <c r="F100" i="38"/>
  <c r="A100" i="38" s="1"/>
  <c r="F88" i="38"/>
  <c r="A88" i="38" s="1"/>
  <c r="A93" i="38"/>
  <c r="A81" i="38"/>
  <c r="F76" i="38"/>
  <c r="A76" i="38" s="1"/>
  <c r="A75" i="38"/>
  <c r="F70" i="38"/>
  <c r="A70" i="38" s="1"/>
  <c r="A69" i="38"/>
  <c r="F64" i="38"/>
  <c r="A64" i="38" s="1"/>
  <c r="A63" i="38"/>
  <c r="F58" i="38"/>
  <c r="A58" i="38" s="1"/>
  <c r="F52" i="38"/>
  <c r="A52" i="38" s="1"/>
  <c r="A57" i="38"/>
  <c r="F46" i="38"/>
  <c r="A46" i="38" s="1"/>
  <c r="A51" i="38"/>
  <c r="A45" i="38"/>
  <c r="F40" i="38"/>
  <c r="A40" i="38" s="1"/>
  <c r="A39" i="38"/>
  <c r="F34" i="38"/>
  <c r="A34" i="38" s="1"/>
  <c r="A33" i="38"/>
  <c r="F28" i="38"/>
  <c r="A28" i="38" s="1"/>
  <c r="A27" i="38"/>
  <c r="F22" i="38"/>
  <c r="F10" i="38"/>
  <c r="A10" i="38" s="1"/>
  <c r="F147" i="38"/>
  <c r="N21" i="38"/>
  <c r="F21" i="38" s="1"/>
  <c r="J123" i="15"/>
  <c r="E87" i="2"/>
  <c r="A21" i="38" l="1"/>
  <c r="F16" i="38"/>
  <c r="A16" i="38" s="1"/>
  <c r="F142" i="38"/>
  <c r="A142" i="38" s="1"/>
  <c r="A147" i="38"/>
  <c r="A22" i="38"/>
  <c r="N166" i="38"/>
  <c r="N171" i="38" s="1"/>
  <c r="F166" i="38"/>
  <c r="I29" i="15"/>
  <c r="J29" i="15" s="1"/>
  <c r="E43" i="2"/>
  <c r="E42" i="2"/>
  <c r="E41" i="2"/>
  <c r="E40" i="2"/>
  <c r="E39" i="2"/>
  <c r="E38" i="2"/>
  <c r="E37" i="2"/>
  <c r="E36" i="2"/>
  <c r="M171" i="38" l="1"/>
  <c r="C2" i="37"/>
  <c r="C42" i="37"/>
  <c r="C40" i="37"/>
  <c r="G74" i="37"/>
  <c r="G75" i="37"/>
  <c r="G76" i="37"/>
  <c r="G77" i="37"/>
  <c r="G73" i="37"/>
  <c r="E74" i="37"/>
  <c r="E75" i="37"/>
  <c r="E76" i="37"/>
  <c r="E77" i="37"/>
  <c r="E73" i="37"/>
  <c r="D7" i="37" l="1"/>
  <c r="C7" i="37"/>
  <c r="D6" i="37"/>
  <c r="C6" i="37"/>
  <c r="D5" i="37"/>
  <c r="H4" i="37"/>
  <c r="D4" i="37"/>
  <c r="H3" i="37"/>
  <c r="D3" i="37"/>
  <c r="C3" i="37"/>
  <c r="C29" i="37"/>
  <c r="D61" i="36" l="1"/>
  <c r="D62" i="36"/>
  <c r="D57" i="36"/>
  <c r="D58" i="36"/>
  <c r="D59" i="36"/>
  <c r="D54" i="36"/>
  <c r="D55" i="36"/>
  <c r="D56" i="36"/>
  <c r="E60" i="36" s="1"/>
  <c r="D53" i="36"/>
  <c r="J8" i="36"/>
  <c r="D7" i="36"/>
  <c r="C7" i="36"/>
  <c r="D6" i="36"/>
  <c r="C6" i="36"/>
  <c r="D5" i="36"/>
  <c r="H4" i="36"/>
  <c r="D4" i="36"/>
  <c r="H3" i="36"/>
  <c r="D3" i="36"/>
  <c r="C3" i="36"/>
  <c r="C2" i="36"/>
  <c r="K32" i="35"/>
  <c r="E32" i="35"/>
  <c r="H31" i="35"/>
  <c r="K31" i="35" s="1"/>
  <c r="B31" i="35"/>
  <c r="E31" i="35" s="1"/>
  <c r="K30" i="35"/>
  <c r="H30" i="35"/>
  <c r="B30" i="35"/>
  <c r="E30" i="35" s="1"/>
  <c r="H29" i="35"/>
  <c r="K29" i="35" s="1"/>
  <c r="B29" i="35"/>
  <c r="E29" i="35" s="1"/>
  <c r="H28" i="35"/>
  <c r="K28" i="35" s="1"/>
  <c r="B28" i="35"/>
  <c r="E28" i="35" s="1"/>
  <c r="H27" i="35"/>
  <c r="K27" i="35" s="1"/>
  <c r="E27" i="35"/>
  <c r="B27" i="35"/>
  <c r="H26" i="35"/>
  <c r="K26" i="35" s="1"/>
  <c r="B26" i="35"/>
  <c r="E26" i="35" s="1"/>
  <c r="K19" i="35"/>
  <c r="E19" i="35"/>
  <c r="H18" i="35"/>
  <c r="K18" i="35" s="1"/>
  <c r="B18" i="35"/>
  <c r="E18" i="35" s="1"/>
  <c r="K17" i="35"/>
  <c r="H17" i="35"/>
  <c r="B17" i="35"/>
  <c r="E17" i="35" s="1"/>
  <c r="H16" i="35"/>
  <c r="K16" i="35" s="1"/>
  <c r="B16" i="35"/>
  <c r="E16" i="35" s="1"/>
  <c r="H15" i="35"/>
  <c r="K15" i="35" s="1"/>
  <c r="B15" i="35"/>
  <c r="E15" i="35" s="1"/>
  <c r="H14" i="35"/>
  <c r="K14" i="35" s="1"/>
  <c r="E14" i="35"/>
  <c r="B14" i="35"/>
  <c r="H13" i="35"/>
  <c r="K13" i="35" s="1"/>
  <c r="B13" i="35"/>
  <c r="E13" i="35" s="1"/>
  <c r="E69" i="34"/>
  <c r="K68" i="34"/>
  <c r="D68" i="34"/>
  <c r="D63" i="34"/>
  <c r="E64" i="34" s="1"/>
  <c r="L59" i="34"/>
  <c r="E59" i="34"/>
  <c r="K58" i="34"/>
  <c r="D58" i="34"/>
  <c r="L53" i="34"/>
  <c r="E53" i="34"/>
  <c r="K46" i="34"/>
  <c r="L47" i="34" s="1"/>
  <c r="D46" i="34"/>
  <c r="E47" i="34" s="1"/>
  <c r="L41" i="34"/>
  <c r="K40" i="34"/>
  <c r="D40" i="34"/>
  <c r="K38" i="34"/>
  <c r="D38" i="34"/>
  <c r="E41" i="34" s="1"/>
  <c r="K35" i="34"/>
  <c r="L36" i="34" s="1"/>
  <c r="D35" i="34"/>
  <c r="E36" i="34" s="1"/>
  <c r="K31" i="34"/>
  <c r="L32" i="34" s="1"/>
  <c r="K30" i="34"/>
  <c r="D30" i="34"/>
  <c r="E32" i="34" s="1"/>
  <c r="K27" i="34"/>
  <c r="D27" i="34"/>
  <c r="K26" i="34"/>
  <c r="D26" i="34"/>
  <c r="E28" i="34" s="1"/>
  <c r="K25" i="34"/>
  <c r="L28" i="34" s="1"/>
  <c r="L54" i="33"/>
  <c r="K53" i="33"/>
  <c r="D53" i="33"/>
  <c r="E54" i="33" s="1"/>
  <c r="L49" i="33"/>
  <c r="E49" i="33"/>
  <c r="K48" i="33"/>
  <c r="D48" i="33"/>
  <c r="K43" i="33"/>
  <c r="L44" i="33" s="1"/>
  <c r="D43" i="33"/>
  <c r="E44" i="33" s="1"/>
  <c r="L38" i="33"/>
  <c r="E38" i="33"/>
  <c r="L32" i="33"/>
  <c r="K31" i="33"/>
  <c r="D31" i="33"/>
  <c r="K30" i="33"/>
  <c r="D30" i="33"/>
  <c r="E32" i="33" s="1"/>
  <c r="K26" i="33"/>
  <c r="D26" i="33"/>
  <c r="K25" i="33"/>
  <c r="L27" i="33" s="1"/>
  <c r="D25" i="33"/>
  <c r="E27" i="33" s="1"/>
  <c r="E60" i="33" l="1"/>
  <c r="L60" i="33"/>
  <c r="E20" i="35"/>
  <c r="L75" i="34"/>
  <c r="K20" i="35"/>
  <c r="E75" i="34"/>
  <c r="E33" i="35"/>
  <c r="E41" i="35"/>
  <c r="K33" i="35"/>
  <c r="E78" i="34" l="1"/>
  <c r="E80" i="34"/>
  <c r="E36" i="35"/>
  <c r="L63" i="33"/>
  <c r="L65" i="33"/>
  <c r="L78" i="34"/>
  <c r="L83" i="34"/>
  <c r="L80" i="34"/>
  <c r="E65" i="33"/>
  <c r="E63" i="33"/>
  <c r="E45" i="35" l="1"/>
  <c r="E42" i="35"/>
  <c r="E38" i="35"/>
  <c r="C9" i="32" l="1"/>
  <c r="I302" i="15" l="1"/>
  <c r="J302" i="15" s="1"/>
  <c r="I298" i="15"/>
  <c r="J298" i="15" s="1"/>
  <c r="I299" i="15"/>
  <c r="J299" i="15" s="1"/>
  <c r="I300" i="15"/>
  <c r="J300" i="15" s="1"/>
  <c r="I301" i="15"/>
  <c r="J301" i="15" s="1"/>
  <c r="I296" i="15"/>
  <c r="J296" i="15" s="1"/>
  <c r="I248" i="15"/>
  <c r="J248" i="15" s="1"/>
  <c r="I145" i="15" l="1"/>
  <c r="J145" i="15" s="1"/>
  <c r="H51" i="15" l="1"/>
  <c r="I51" i="15" s="1"/>
  <c r="J51" i="15" s="1"/>
  <c r="E63" i="20"/>
  <c r="E73" i="20"/>
  <c r="I72" i="20"/>
  <c r="I82" i="20"/>
  <c r="I329" i="15"/>
  <c r="J329" i="15" s="1"/>
  <c r="I328" i="15"/>
  <c r="J328" i="15" s="1"/>
  <c r="I323" i="15"/>
  <c r="J323" i="15" s="1"/>
  <c r="I322" i="15"/>
  <c r="J322" i="15" s="1"/>
  <c r="I321" i="15"/>
  <c r="J321" i="15" s="1"/>
  <c r="I320" i="15"/>
  <c r="J320" i="15" s="1"/>
  <c r="I319" i="15"/>
  <c r="J319" i="15" s="1"/>
  <c r="I318" i="15"/>
  <c r="J318" i="15" s="1"/>
  <c r="I314" i="15"/>
  <c r="J314" i="15" s="1"/>
  <c r="I313" i="15"/>
  <c r="J313" i="15" s="1"/>
  <c r="I312" i="15"/>
  <c r="J312" i="15" s="1"/>
  <c r="I311" i="15"/>
  <c r="J311" i="15" s="1"/>
  <c r="I310" i="15"/>
  <c r="J310" i="15" s="1"/>
  <c r="I309" i="15"/>
  <c r="J309" i="15" s="1"/>
  <c r="I308" i="15"/>
  <c r="J308" i="15" s="1"/>
  <c r="I307" i="15"/>
  <c r="J307" i="15" s="1"/>
  <c r="I303" i="15"/>
  <c r="J303" i="15" s="1"/>
  <c r="I297" i="15"/>
  <c r="J297" i="15" s="1"/>
  <c r="I295" i="15"/>
  <c r="J295" i="15" s="1"/>
  <c r="I294" i="15"/>
  <c r="J294" i="15" s="1"/>
  <c r="I290" i="15"/>
  <c r="J290" i="15" s="1"/>
  <c r="I289" i="15"/>
  <c r="J289" i="15" s="1"/>
  <c r="I288" i="15"/>
  <c r="J288" i="15" s="1"/>
  <c r="I287" i="15"/>
  <c r="J287" i="15" s="1"/>
  <c r="I286" i="15"/>
  <c r="J286" i="15" s="1"/>
  <c r="I285" i="15"/>
  <c r="J285" i="15" s="1"/>
  <c r="I284" i="15"/>
  <c r="J284" i="15" s="1"/>
  <c r="I283" i="15"/>
  <c r="J283" i="15" s="1"/>
  <c r="I282" i="15"/>
  <c r="J282" i="15" s="1"/>
  <c r="I281" i="15"/>
  <c r="J281" i="15" s="1"/>
  <c r="I280" i="15"/>
  <c r="J280" i="15" s="1"/>
  <c r="I279" i="15"/>
  <c r="J279" i="15" s="1"/>
  <c r="I278" i="15"/>
  <c r="J278" i="15" s="1"/>
  <c r="I277" i="15"/>
  <c r="J277" i="15" s="1"/>
  <c r="I276" i="15"/>
  <c r="J276" i="15" s="1"/>
  <c r="I275" i="15"/>
  <c r="J275" i="15" s="1"/>
  <c r="I274" i="15"/>
  <c r="J274" i="15" s="1"/>
  <c r="I273" i="15"/>
  <c r="J273" i="15" s="1"/>
  <c r="I269" i="15"/>
  <c r="J269" i="15" s="1"/>
  <c r="I268" i="15"/>
  <c r="J268" i="15" s="1"/>
  <c r="I267" i="15"/>
  <c r="J267" i="15" s="1"/>
  <c r="I266" i="15"/>
  <c r="J266" i="15" s="1"/>
  <c r="I265" i="15"/>
  <c r="J265" i="15" s="1"/>
  <c r="I261" i="15"/>
  <c r="J261" i="15" s="1"/>
  <c r="I260" i="15"/>
  <c r="J260" i="15" s="1"/>
  <c r="I259" i="15"/>
  <c r="J259" i="15" s="1"/>
  <c r="I258" i="15"/>
  <c r="J258" i="15" s="1"/>
  <c r="I254" i="15"/>
  <c r="J254" i="15" s="1"/>
  <c r="I253" i="15"/>
  <c r="J253" i="15" s="1"/>
  <c r="I249" i="15"/>
  <c r="J249" i="15" s="1"/>
  <c r="I247" i="15"/>
  <c r="J247" i="15" s="1"/>
  <c r="I246" i="15"/>
  <c r="J246" i="15" s="1"/>
  <c r="I245" i="15"/>
  <c r="J245" i="15" s="1"/>
  <c r="I241" i="15"/>
  <c r="I237" i="15"/>
  <c r="J237" i="15" s="1"/>
  <c r="I235" i="15"/>
  <c r="J235" i="15" s="1"/>
  <c r="I234" i="15"/>
  <c r="J234" i="15" s="1"/>
  <c r="I230" i="15"/>
  <c r="J230" i="15" s="1"/>
  <c r="I229" i="15"/>
  <c r="J229" i="15" s="1"/>
  <c r="I225" i="15"/>
  <c r="J225" i="15" s="1"/>
  <c r="I224" i="15"/>
  <c r="J224" i="15" s="1"/>
  <c r="I223" i="15"/>
  <c r="J223" i="15" s="1"/>
  <c r="I222" i="15"/>
  <c r="J222" i="15" s="1"/>
  <c r="I218" i="15"/>
  <c r="J218" i="15" s="1"/>
  <c r="I217" i="15"/>
  <c r="J217" i="15" s="1"/>
  <c r="I216" i="15"/>
  <c r="J216" i="15" s="1"/>
  <c r="I215" i="15"/>
  <c r="J215" i="15" s="1"/>
  <c r="I214" i="15"/>
  <c r="J214" i="15" s="1"/>
  <c r="I210" i="15"/>
  <c r="J210" i="15" s="1"/>
  <c r="I209" i="15"/>
  <c r="J209" i="15" s="1"/>
  <c r="I208" i="15"/>
  <c r="J208" i="15" s="1"/>
  <c r="I207" i="15"/>
  <c r="J207" i="15" s="1"/>
  <c r="I206" i="15"/>
  <c r="J206" i="15" s="1"/>
  <c r="I205" i="15"/>
  <c r="J205" i="15" s="1"/>
  <c r="I203" i="15"/>
  <c r="J203" i="15" s="1"/>
  <c r="I202" i="15"/>
  <c r="J202" i="15" s="1"/>
  <c r="I198" i="15"/>
  <c r="J198" i="15" s="1"/>
  <c r="I197" i="15"/>
  <c r="J197" i="15" s="1"/>
  <c r="I196" i="15"/>
  <c r="J196" i="15" s="1"/>
  <c r="I195" i="15"/>
  <c r="J195" i="15" s="1"/>
  <c r="I194" i="15"/>
  <c r="J194" i="15" s="1"/>
  <c r="I193" i="15"/>
  <c r="J193" i="15" s="1"/>
  <c r="I192" i="15"/>
  <c r="J192" i="15" s="1"/>
  <c r="I188" i="15"/>
  <c r="J188" i="15" s="1"/>
  <c r="I187" i="15"/>
  <c r="J187" i="15" s="1"/>
  <c r="I186" i="15"/>
  <c r="J186" i="15" s="1"/>
  <c r="I185" i="15"/>
  <c r="J185" i="15" s="1"/>
  <c r="I184" i="15"/>
  <c r="J184" i="15" s="1"/>
  <c r="I183" i="15"/>
  <c r="J183" i="15" s="1"/>
  <c r="I182" i="15"/>
  <c r="J182" i="15" s="1"/>
  <c r="I181" i="15"/>
  <c r="J181" i="15" s="1"/>
  <c r="I180" i="15"/>
  <c r="J180" i="15" s="1"/>
  <c r="I179" i="15"/>
  <c r="J179" i="15" s="1"/>
  <c r="I178" i="15"/>
  <c r="J178" i="15" s="1"/>
  <c r="I177" i="15"/>
  <c r="J177" i="15" s="1"/>
  <c r="I176" i="15"/>
  <c r="J176" i="15" s="1"/>
  <c r="I175" i="15"/>
  <c r="J175" i="15" s="1"/>
  <c r="I174" i="15"/>
  <c r="J174" i="15" s="1"/>
  <c r="I173" i="15"/>
  <c r="J173" i="15" s="1"/>
  <c r="I172" i="15"/>
  <c r="J172" i="15" s="1"/>
  <c r="I171" i="15"/>
  <c r="J171" i="15" s="1"/>
  <c r="I170" i="15"/>
  <c r="J170" i="15" s="1"/>
  <c r="I169" i="15"/>
  <c r="J169" i="15" s="1"/>
  <c r="I168" i="15"/>
  <c r="J168" i="15" s="1"/>
  <c r="I167" i="15"/>
  <c r="J167" i="15" s="1"/>
  <c r="I163" i="15"/>
  <c r="J163" i="15" s="1"/>
  <c r="I162" i="15"/>
  <c r="J162" i="15" s="1"/>
  <c r="I161" i="15"/>
  <c r="J161" i="15" s="1"/>
  <c r="I160" i="15"/>
  <c r="J160" i="15" s="1"/>
  <c r="I159" i="15"/>
  <c r="J159" i="15" s="1"/>
  <c r="I158" i="15"/>
  <c r="J158" i="15" s="1"/>
  <c r="I157" i="15"/>
  <c r="J157" i="15" s="1"/>
  <c r="I156" i="15"/>
  <c r="J156" i="15" s="1"/>
  <c r="I155" i="15"/>
  <c r="J155" i="15" s="1"/>
  <c r="I154" i="15"/>
  <c r="J154" i="15" s="1"/>
  <c r="I153" i="15"/>
  <c r="J153" i="15" s="1"/>
  <c r="I152" i="15"/>
  <c r="J152" i="15" s="1"/>
  <c r="I148" i="15"/>
  <c r="J148" i="15" s="1"/>
  <c r="I147" i="15"/>
  <c r="J147" i="15" s="1"/>
  <c r="I146" i="15"/>
  <c r="J146" i="15" s="1"/>
  <c r="I144" i="15"/>
  <c r="J144" i="15" s="1"/>
  <c r="I143" i="15"/>
  <c r="J143" i="15" s="1"/>
  <c r="I142" i="15"/>
  <c r="J142" i="15" s="1"/>
  <c r="I141" i="15"/>
  <c r="J141" i="15" s="1"/>
  <c r="I140" i="15"/>
  <c r="J140" i="15" s="1"/>
  <c r="I139" i="15"/>
  <c r="J139" i="15" s="1"/>
  <c r="I138" i="15"/>
  <c r="J138" i="15" s="1"/>
  <c r="I137" i="15"/>
  <c r="J137" i="15" s="1"/>
  <c r="I136" i="15"/>
  <c r="J136" i="15" s="1"/>
  <c r="I135" i="15"/>
  <c r="J135" i="15" s="1"/>
  <c r="I134" i="15"/>
  <c r="J134" i="15" s="1"/>
  <c r="I133" i="15"/>
  <c r="J133" i="15" s="1"/>
  <c r="I129" i="15"/>
  <c r="J129" i="15" s="1"/>
  <c r="I128" i="15"/>
  <c r="J128" i="15" s="1"/>
  <c r="I127" i="15"/>
  <c r="J127" i="15" s="1"/>
  <c r="I126" i="15"/>
  <c r="J126" i="15" s="1"/>
  <c r="I122" i="15"/>
  <c r="J122" i="15" s="1"/>
  <c r="I121" i="15"/>
  <c r="I120" i="15"/>
  <c r="J120" i="15" s="1"/>
  <c r="I117" i="15"/>
  <c r="J117" i="15" s="1"/>
  <c r="I116" i="15"/>
  <c r="J116" i="15" s="1"/>
  <c r="I113" i="15"/>
  <c r="J113" i="15" s="1"/>
  <c r="I112" i="15"/>
  <c r="J112" i="15" s="1"/>
  <c r="I109" i="15"/>
  <c r="J109" i="15" s="1"/>
  <c r="I108" i="15"/>
  <c r="J108" i="15" s="1"/>
  <c r="I107" i="15"/>
  <c r="J107" i="15" s="1"/>
  <c r="I106" i="15"/>
  <c r="J106" i="15" s="1"/>
  <c r="I103" i="15"/>
  <c r="J103" i="15" s="1"/>
  <c r="I102" i="15"/>
  <c r="J102" i="15" s="1"/>
  <c r="I101" i="15"/>
  <c r="J101" i="15" s="1"/>
  <c r="I100" i="15"/>
  <c r="J100" i="15" s="1"/>
  <c r="I99" i="15"/>
  <c r="J99" i="15" s="1"/>
  <c r="I98" i="15"/>
  <c r="J98" i="15" s="1"/>
  <c r="I97" i="15"/>
  <c r="J97" i="15" s="1"/>
  <c r="I96" i="15"/>
  <c r="J96" i="15" s="1"/>
  <c r="I91" i="15"/>
  <c r="J91" i="15" s="1"/>
  <c r="I90" i="15"/>
  <c r="J90" i="15" s="1"/>
  <c r="I87" i="15"/>
  <c r="J87" i="15" s="1"/>
  <c r="I86" i="15"/>
  <c r="J86" i="15" s="1"/>
  <c r="I85" i="15"/>
  <c r="J85" i="15" s="1"/>
  <c r="I84" i="15"/>
  <c r="J84" i="15" s="1"/>
  <c r="I83" i="15"/>
  <c r="J83" i="15" s="1"/>
  <c r="I82" i="15"/>
  <c r="J82" i="15" s="1"/>
  <c r="I80" i="15"/>
  <c r="J80" i="15" s="1"/>
  <c r="I79" i="15"/>
  <c r="J79" i="15" s="1"/>
  <c r="I78" i="15"/>
  <c r="J78" i="15" s="1"/>
  <c r="I77" i="15"/>
  <c r="J77" i="15" s="1"/>
  <c r="I76" i="15"/>
  <c r="J76" i="15" s="1"/>
  <c r="I71" i="15"/>
  <c r="J71" i="15" s="1"/>
  <c r="I70" i="15"/>
  <c r="J70" i="15" s="1"/>
  <c r="I69" i="15"/>
  <c r="J69" i="15" s="1"/>
  <c r="I68" i="15"/>
  <c r="J68" i="15" s="1"/>
  <c r="I67" i="15"/>
  <c r="J67" i="15" s="1"/>
  <c r="I66" i="15"/>
  <c r="J66" i="15" s="1"/>
  <c r="I65" i="15"/>
  <c r="J65" i="15" s="1"/>
  <c r="I61" i="15"/>
  <c r="J61" i="15" s="1"/>
  <c r="I60" i="15"/>
  <c r="J60" i="15" s="1"/>
  <c r="I59" i="15"/>
  <c r="J59" i="15" s="1"/>
  <c r="I58" i="15"/>
  <c r="J58" i="15" s="1"/>
  <c r="I57" i="15"/>
  <c r="J57" i="15" s="1"/>
  <c r="I56" i="15"/>
  <c r="J56" i="15" s="1"/>
  <c r="I55" i="15"/>
  <c r="J55" i="15" s="1"/>
  <c r="I50" i="15"/>
  <c r="J50" i="15" s="1"/>
  <c r="I47" i="15"/>
  <c r="J47" i="15" s="1"/>
  <c r="I46" i="15"/>
  <c r="J46" i="15" s="1"/>
  <c r="I43" i="15"/>
  <c r="J43" i="15" s="1"/>
  <c r="I40" i="15"/>
  <c r="J40" i="15" s="1"/>
  <c r="I39" i="15"/>
  <c r="J39" i="15" s="1"/>
  <c r="I38" i="15"/>
  <c r="J38" i="15" s="1"/>
  <c r="I37" i="15"/>
  <c r="J37" i="15" s="1"/>
  <c r="I36" i="15"/>
  <c r="J36" i="15" s="1"/>
  <c r="I35" i="15"/>
  <c r="J35" i="15" s="1"/>
  <c r="I34" i="15"/>
  <c r="J34" i="15" s="1"/>
  <c r="I33" i="15"/>
  <c r="J33" i="15" s="1"/>
  <c r="I32" i="15"/>
  <c r="J32" i="15" s="1"/>
  <c r="I31" i="15"/>
  <c r="J31" i="15" s="1"/>
  <c r="I30" i="15"/>
  <c r="J30" i="15" s="1"/>
  <c r="J121" i="15" l="1"/>
  <c r="E239" i="15"/>
  <c r="J241" i="15"/>
  <c r="E292" i="15"/>
  <c r="E263" i="15"/>
  <c r="E232" i="15"/>
  <c r="E243" i="15"/>
  <c r="E271" i="15"/>
  <c r="E256" i="15"/>
  <c r="E305" i="15"/>
  <c r="E227" i="15"/>
  <c r="E220" i="15"/>
  <c r="E212" i="15"/>
  <c r="E200" i="15"/>
  <c r="E190" i="15"/>
  <c r="E165" i="15"/>
  <c r="E150" i="15"/>
  <c r="E131" i="15"/>
  <c r="E93" i="15"/>
  <c r="E73" i="15"/>
  <c r="E53" i="15"/>
  <c r="E26" i="15"/>
  <c r="E63" i="15"/>
  <c r="E316" i="15"/>
  <c r="E251" i="15"/>
  <c r="H24" i="15"/>
  <c r="I24" i="15" s="1"/>
  <c r="J24" i="15" s="1"/>
  <c r="D31" i="2"/>
  <c r="D29" i="2"/>
  <c r="D30" i="2"/>
  <c r="D28" i="2"/>
  <c r="J5" i="37" s="1"/>
  <c r="J8" i="14"/>
  <c r="F49" i="14" s="1"/>
  <c r="I20" i="14"/>
  <c r="I50" i="14"/>
  <c r="J5" i="36" l="1"/>
  <c r="J5" i="14"/>
  <c r="K5" i="15"/>
  <c r="J5" i="20"/>
  <c r="H4" i="14"/>
  <c r="H3" i="14"/>
  <c r="H4" i="20"/>
  <c r="H3" i="20"/>
  <c r="F36" i="14" l="1"/>
  <c r="F54" i="14"/>
  <c r="F47" i="14"/>
  <c r="F37" i="14"/>
  <c r="F55" i="14"/>
  <c r="F43" i="14"/>
  <c r="F45" i="14"/>
  <c r="F46" i="14"/>
  <c r="F51" i="14"/>
  <c r="F40" i="14"/>
  <c r="F42" i="14"/>
  <c r="F44" i="14"/>
  <c r="F52" i="14"/>
  <c r="F53" i="14"/>
  <c r="F48" i="14"/>
  <c r="F16" i="20"/>
  <c r="F15" i="20"/>
  <c r="F31" i="14"/>
  <c r="F30" i="14"/>
  <c r="F29" i="14"/>
  <c r="F27" i="14"/>
  <c r="F14" i="14"/>
  <c r="F12" i="14"/>
  <c r="F28" i="14"/>
  <c r="F13" i="14"/>
  <c r="F46" i="36"/>
  <c r="I46" i="36" s="1"/>
  <c r="J46" i="36" s="1"/>
  <c r="F12" i="36"/>
  <c r="I12" i="36" s="1"/>
  <c r="F40" i="36"/>
  <c r="I40" i="36" s="1"/>
  <c r="J40" i="36" s="1"/>
  <c r="F28" i="36"/>
  <c r="I28" i="36" s="1"/>
  <c r="J28" i="36" s="1"/>
  <c r="F14" i="36"/>
  <c r="I14" i="36" s="1"/>
  <c r="J14" i="36" s="1"/>
  <c r="F45" i="36"/>
  <c r="I45" i="36" s="1"/>
  <c r="J45" i="36" s="1"/>
  <c r="F22" i="36"/>
  <c r="I22" i="36" s="1"/>
  <c r="J22" i="36" s="1"/>
  <c r="F44" i="36"/>
  <c r="I44" i="36" s="1"/>
  <c r="J44" i="36" s="1"/>
  <c r="F21" i="36"/>
  <c r="I21" i="36" s="1"/>
  <c r="J21" i="36" s="1"/>
  <c r="F39" i="36"/>
  <c r="I39" i="36" s="1"/>
  <c r="F30" i="36"/>
  <c r="I30" i="36" s="1"/>
  <c r="J30" i="36" s="1"/>
  <c r="F29" i="36"/>
  <c r="I29" i="36" s="1"/>
  <c r="J29" i="36" s="1"/>
  <c r="F27" i="36"/>
  <c r="I27" i="36" s="1"/>
  <c r="F43" i="36"/>
  <c r="I43" i="36" s="1"/>
  <c r="J43" i="36" s="1"/>
  <c r="F19" i="36"/>
  <c r="I19" i="36" s="1"/>
  <c r="J19" i="36" s="1"/>
  <c r="F42" i="36"/>
  <c r="I42" i="36" s="1"/>
  <c r="J42" i="36" s="1"/>
  <c r="F13" i="36"/>
  <c r="I13" i="36" s="1"/>
  <c r="J13" i="36" s="1"/>
  <c r="F41" i="36"/>
  <c r="I41" i="36" s="1"/>
  <c r="J41" i="36" s="1"/>
  <c r="F32" i="36"/>
  <c r="I32" i="36" s="1"/>
  <c r="J32" i="36" s="1"/>
  <c r="F20" i="36"/>
  <c r="I20" i="36" s="1"/>
  <c r="J20" i="36" s="1"/>
  <c r="F33" i="36"/>
  <c r="I33" i="36" s="1"/>
  <c r="J33" i="36" s="1"/>
  <c r="F18" i="36"/>
  <c r="I18" i="36" s="1"/>
  <c r="F34" i="36"/>
  <c r="I34" i="36" s="1"/>
  <c r="J34" i="36" s="1"/>
  <c r="F31" i="36"/>
  <c r="I31" i="36" s="1"/>
  <c r="J31" i="36" s="1"/>
  <c r="F334" i="15"/>
  <c r="F335" i="15"/>
  <c r="F336" i="15"/>
  <c r="F337" i="15"/>
  <c r="F338" i="15"/>
  <c r="F339" i="15"/>
  <c r="F333" i="15"/>
  <c r="C4" i="26"/>
  <c r="J27" i="36" l="1"/>
  <c r="E24" i="36"/>
  <c r="J39" i="36"/>
  <c r="E36" i="36"/>
  <c r="J18" i="36"/>
  <c r="E16" i="36"/>
  <c r="J12" i="36"/>
  <c r="E10" i="36"/>
  <c r="I48" i="36"/>
  <c r="J48" i="36" s="1"/>
  <c r="Q27" i="25"/>
  <c r="P27" i="25"/>
  <c r="O27" i="25"/>
  <c r="N27" i="25"/>
  <c r="M27" i="25"/>
  <c r="L27" i="25"/>
  <c r="J27" i="25"/>
  <c r="F27" i="25"/>
  <c r="G27" i="25"/>
  <c r="H27" i="25"/>
  <c r="I27" i="25"/>
  <c r="E27" i="25"/>
  <c r="C18" i="25"/>
  <c r="C13" i="25"/>
  <c r="C15" i="25" s="1"/>
  <c r="C16" i="25" s="1"/>
  <c r="C17" i="25" s="1"/>
  <c r="C14" i="25" s="1"/>
  <c r="C20" i="25" s="1"/>
  <c r="C24" i="25" s="1"/>
  <c r="C22" i="25" s="1"/>
  <c r="D7" i="25"/>
  <c r="C7" i="25"/>
  <c r="D6" i="25"/>
  <c r="C6" i="25"/>
  <c r="D5" i="25"/>
  <c r="D4" i="25"/>
  <c r="D3" i="25"/>
  <c r="C3" i="25"/>
  <c r="C2" i="25"/>
  <c r="F46" i="2"/>
  <c r="I166" i="23"/>
  <c r="J166" i="23"/>
  <c r="H166" i="23"/>
  <c r="G166" i="23"/>
  <c r="F166" i="23"/>
  <c r="E166" i="23"/>
  <c r="C156" i="23"/>
  <c r="C157" i="23" s="1"/>
  <c r="C158" i="23" s="1"/>
  <c r="C159" i="23" s="1"/>
  <c r="C150" i="23"/>
  <c r="C151" i="23" s="1"/>
  <c r="C152" i="23" s="1"/>
  <c r="C153" i="23" s="1"/>
  <c r="C144" i="23"/>
  <c r="C145" i="23" s="1"/>
  <c r="C146" i="23" s="1"/>
  <c r="C147" i="23" s="1"/>
  <c r="C138" i="23"/>
  <c r="C139" i="23" s="1"/>
  <c r="C140" i="23" s="1"/>
  <c r="C141" i="23" s="1"/>
  <c r="C132" i="23"/>
  <c r="C133" i="23" s="1"/>
  <c r="C134" i="23" s="1"/>
  <c r="C135" i="23" s="1"/>
  <c r="C126" i="23"/>
  <c r="C127" i="23" s="1"/>
  <c r="C128" i="23" s="1"/>
  <c r="C129" i="23" s="1"/>
  <c r="C120" i="23"/>
  <c r="C121" i="23" s="1"/>
  <c r="C122" i="23" s="1"/>
  <c r="C123" i="23" s="1"/>
  <c r="C114" i="23"/>
  <c r="C115" i="23" s="1"/>
  <c r="C116" i="23" s="1"/>
  <c r="C117" i="23" s="1"/>
  <c r="C108" i="23"/>
  <c r="C109" i="23" s="1"/>
  <c r="C110" i="23" s="1"/>
  <c r="C111" i="23" s="1"/>
  <c r="C102" i="23"/>
  <c r="C103" i="23" s="1"/>
  <c r="C104" i="23" s="1"/>
  <c r="C105" i="23" s="1"/>
  <c r="C96" i="23"/>
  <c r="C97" i="23" s="1"/>
  <c r="C98" i="23" s="1"/>
  <c r="C99" i="23" s="1"/>
  <c r="C17" i="23"/>
  <c r="C18" i="23" s="1"/>
  <c r="C19" i="23" s="1"/>
  <c r="C20" i="23" s="1"/>
  <c r="C21" i="23" s="1"/>
  <c r="D7" i="23"/>
  <c r="C7" i="23"/>
  <c r="D6" i="23"/>
  <c r="C6" i="23"/>
  <c r="D5" i="23"/>
  <c r="D4" i="23"/>
  <c r="D3" i="23"/>
  <c r="C3" i="23"/>
  <c r="C2" i="23"/>
  <c r="F31" i="25" l="1"/>
  <c r="F33" i="25" s="1"/>
  <c r="C23" i="25"/>
  <c r="C23" i="23"/>
  <c r="C24" i="23" l="1"/>
  <c r="C25" i="23" s="1"/>
  <c r="C26" i="23" s="1"/>
  <c r="C27" i="23" s="1"/>
  <c r="C29" i="23"/>
  <c r="C30" i="23" l="1"/>
  <c r="C31" i="23" s="1"/>
  <c r="C32" i="23" s="1"/>
  <c r="C33" i="23" s="1"/>
  <c r="C35" i="23"/>
  <c r="C36" i="23" l="1"/>
  <c r="C37" i="23" s="1"/>
  <c r="C38" i="23" s="1"/>
  <c r="C39" i="23" s="1"/>
  <c r="C41" i="23"/>
  <c r="C42" i="23" l="1"/>
  <c r="C43" i="23" s="1"/>
  <c r="C44" i="23" s="1"/>
  <c r="C45" i="23" s="1"/>
  <c r="C47" i="23"/>
  <c r="C48" i="23" l="1"/>
  <c r="C49" i="23" s="1"/>
  <c r="C50" i="23" s="1"/>
  <c r="C51" i="23" s="1"/>
  <c r="C53" i="23"/>
  <c r="C54" i="23" l="1"/>
  <c r="C55" i="23" s="1"/>
  <c r="C56" i="23" s="1"/>
  <c r="C57" i="23" s="1"/>
  <c r="C59" i="23"/>
  <c r="C60" i="23" l="1"/>
  <c r="C61" i="23" s="1"/>
  <c r="C62" i="23" s="1"/>
  <c r="C63" i="23" s="1"/>
  <c r="C65" i="23"/>
  <c r="C66" i="23" l="1"/>
  <c r="C67" i="23" s="1"/>
  <c r="C68" i="23" s="1"/>
  <c r="C69" i="23" s="1"/>
  <c r="C71" i="23"/>
  <c r="C72" i="23" l="1"/>
  <c r="C73" i="23" s="1"/>
  <c r="C74" i="23" s="1"/>
  <c r="C75" i="23" s="1"/>
  <c r="C77" i="23"/>
  <c r="C78" i="23" l="1"/>
  <c r="C79" i="23" s="1"/>
  <c r="C80" i="23" s="1"/>
  <c r="C81" i="23" s="1"/>
  <c r="C83" i="23"/>
  <c r="C84" i="23" l="1"/>
  <c r="C85" i="23" s="1"/>
  <c r="C86" i="23" s="1"/>
  <c r="C87" i="23" s="1"/>
  <c r="C89" i="23"/>
  <c r="C90" i="23" s="1"/>
  <c r="C91" i="23" s="1"/>
  <c r="C92" i="23" s="1"/>
  <c r="C93" i="23" s="1"/>
  <c r="I49" i="20" l="1"/>
  <c r="I33" i="20"/>
  <c r="I32" i="20"/>
  <c r="I13" i="20"/>
  <c r="I12" i="20"/>
  <c r="C4" i="20"/>
  <c r="I41" i="14"/>
  <c r="D7" i="14"/>
  <c r="C7" i="14"/>
  <c r="D6" i="14"/>
  <c r="C6" i="14"/>
  <c r="D5" i="14"/>
  <c r="D4" i="14"/>
  <c r="D3" i="14"/>
  <c r="C3" i="14"/>
  <c r="C2" i="14"/>
  <c r="I2" i="15"/>
  <c r="K8" i="15"/>
  <c r="K7" i="15"/>
  <c r="C7" i="15"/>
  <c r="C6" i="15"/>
  <c r="C3" i="15"/>
  <c r="H4" i="15"/>
  <c r="H3" i="15"/>
  <c r="K4" i="15"/>
  <c r="J4" i="37" s="1"/>
  <c r="K3" i="15"/>
  <c r="J3" i="37" s="1"/>
  <c r="K2" i="15"/>
  <c r="J2" i="37" s="1"/>
  <c r="D7" i="15"/>
  <c r="D6" i="15"/>
  <c r="D5" i="15"/>
  <c r="D4" i="15"/>
  <c r="D3" i="15"/>
  <c r="C2" i="15"/>
  <c r="K204" i="15" l="1"/>
  <c r="K81" i="15"/>
  <c r="K123" i="15"/>
  <c r="K236" i="15"/>
  <c r="H183" i="28"/>
  <c r="H113" i="28"/>
  <c r="H111" i="28"/>
  <c r="K302" i="15"/>
  <c r="I2" i="14"/>
  <c r="I2" i="37"/>
  <c r="I2" i="36"/>
  <c r="H2" i="28"/>
  <c r="J2" i="14"/>
  <c r="J2" i="36"/>
  <c r="E30" i="20"/>
  <c r="I35" i="20"/>
  <c r="J4" i="20"/>
  <c r="J4" i="36"/>
  <c r="J3" i="20"/>
  <c r="J3" i="36"/>
  <c r="K298" i="15"/>
  <c r="K300" i="15"/>
  <c r="K299" i="15"/>
  <c r="K301" i="15"/>
  <c r="K296" i="15"/>
  <c r="K145" i="15"/>
  <c r="K248" i="15"/>
  <c r="K60" i="15"/>
  <c r="K59" i="15"/>
  <c r="K57" i="15"/>
  <c r="K58" i="15"/>
  <c r="K30" i="15"/>
  <c r="K33" i="15"/>
  <c r="K24" i="15"/>
  <c r="H194" i="28"/>
  <c r="H204" i="28"/>
  <c r="K286" i="15"/>
  <c r="K266" i="15"/>
  <c r="H126" i="28"/>
  <c r="H178" i="28"/>
  <c r="H129" i="28"/>
  <c r="H143" i="28"/>
  <c r="H130" i="28"/>
  <c r="K167" i="15"/>
  <c r="K218" i="15"/>
  <c r="K121" i="15"/>
  <c r="K148" i="15"/>
  <c r="K147" i="15"/>
  <c r="K143" i="15"/>
  <c r="K55" i="15"/>
  <c r="D5" i="20"/>
  <c r="D5" i="26"/>
  <c r="D6" i="20"/>
  <c r="D6" i="26"/>
  <c r="D7" i="20"/>
  <c r="D7" i="26"/>
  <c r="C3" i="20"/>
  <c r="C3" i="26"/>
  <c r="D3" i="20"/>
  <c r="D3" i="26"/>
  <c r="C6" i="20"/>
  <c r="C6" i="26"/>
  <c r="C7" i="20"/>
  <c r="C7" i="26"/>
  <c r="D4" i="20"/>
  <c r="D4" i="26"/>
  <c r="C2" i="20"/>
  <c r="C2" i="26"/>
  <c r="J8" i="20"/>
  <c r="F18" i="20" s="1"/>
  <c r="J4" i="14"/>
  <c r="J3" i="14"/>
  <c r="I2" i="20"/>
  <c r="J2" i="20"/>
  <c r="H42" i="28" l="1"/>
  <c r="I52" i="14"/>
  <c r="H41" i="28"/>
  <c r="H40" i="28"/>
  <c r="J41" i="14"/>
  <c r="I12" i="14"/>
  <c r="I13" i="14"/>
  <c r="H16" i="28" s="1"/>
  <c r="J13" i="20"/>
  <c r="J12" i="20"/>
  <c r="J33" i="20"/>
  <c r="J32" i="20"/>
  <c r="J49" i="20"/>
  <c r="I27" i="14"/>
  <c r="I29" i="14"/>
  <c r="H13" i="28" s="1"/>
  <c r="I28" i="14"/>
  <c r="H12" i="28" s="1"/>
  <c r="I30" i="14"/>
  <c r="H14" i="28" s="1"/>
  <c r="I31" i="14"/>
  <c r="H18" i="28" s="1"/>
  <c r="E25" i="14" l="1"/>
  <c r="I17" i="20"/>
  <c r="H46" i="28" s="1"/>
  <c r="I24" i="20"/>
  <c r="H53" i="28" s="1"/>
  <c r="I26" i="20"/>
  <c r="H55" i="28" s="1"/>
  <c r="I25" i="20"/>
  <c r="H54" i="28" s="1"/>
  <c r="I16" i="20"/>
  <c r="I14" i="14"/>
  <c r="H17" i="28" s="1"/>
  <c r="H11" i="28"/>
  <c r="H15" i="28"/>
  <c r="J28" i="14"/>
  <c r="J29" i="14"/>
  <c r="J13" i="14"/>
  <c r="J31" i="14"/>
  <c r="J30" i="14"/>
  <c r="J27" i="14"/>
  <c r="J12" i="14"/>
  <c r="I23" i="14"/>
  <c r="H7" i="28" s="1"/>
  <c r="I22" i="14"/>
  <c r="H6" i="28" s="1"/>
  <c r="I21" i="14"/>
  <c r="H5" i="28" s="1"/>
  <c r="H4" i="28"/>
  <c r="H10" i="28"/>
  <c r="H218" i="28"/>
  <c r="I80" i="20"/>
  <c r="H77" i="28" s="1"/>
  <c r="I79" i="20"/>
  <c r="H76" i="28" s="1"/>
  <c r="I78" i="20"/>
  <c r="H75" i="28" s="1"/>
  <c r="I77" i="20"/>
  <c r="H74" i="28" s="1"/>
  <c r="I76" i="20"/>
  <c r="H73" i="28" s="1"/>
  <c r="I75" i="20"/>
  <c r="I70" i="20"/>
  <c r="H71" i="28" s="1"/>
  <c r="I69" i="20"/>
  <c r="H70" i="28" s="1"/>
  <c r="I68" i="20"/>
  <c r="H69" i="28" s="1"/>
  <c r="I67" i="20"/>
  <c r="H68" i="28" s="1"/>
  <c r="I66" i="20"/>
  <c r="I65" i="20"/>
  <c r="I60" i="20"/>
  <c r="H65" i="28" s="1"/>
  <c r="I59" i="20"/>
  <c r="H64" i="28" s="1"/>
  <c r="I58" i="20"/>
  <c r="H63" i="28" s="1"/>
  <c r="I57" i="20"/>
  <c r="H62" i="28" s="1"/>
  <c r="I56" i="20"/>
  <c r="H61" i="28" s="1"/>
  <c r="I55" i="20"/>
  <c r="I54" i="20"/>
  <c r="I48" i="20"/>
  <c r="I43" i="20"/>
  <c r="I27" i="20"/>
  <c r="H56" i="28" s="1"/>
  <c r="I23" i="20"/>
  <c r="H52" i="28" s="1"/>
  <c r="I22" i="20"/>
  <c r="H51" i="28" s="1"/>
  <c r="I21" i="20"/>
  <c r="H50" i="28" s="1"/>
  <c r="I20" i="20"/>
  <c r="H49" i="28" s="1"/>
  <c r="I19" i="20"/>
  <c r="H48" i="28" s="1"/>
  <c r="I18" i="20"/>
  <c r="I15" i="20"/>
  <c r="I38" i="20"/>
  <c r="I14" i="20"/>
  <c r="H43" i="28" s="1"/>
  <c r="H18" i="15"/>
  <c r="H103" i="28"/>
  <c r="H79" i="28"/>
  <c r="I18" i="15" l="1"/>
  <c r="E36" i="20"/>
  <c r="I40" i="20"/>
  <c r="H60" i="28"/>
  <c r="E52" i="20"/>
  <c r="I62" i="20"/>
  <c r="E46" i="20"/>
  <c r="I51" i="20"/>
  <c r="E41" i="20"/>
  <c r="I45" i="20"/>
  <c r="I16" i="14"/>
  <c r="H13" i="15" s="1"/>
  <c r="H47" i="28"/>
  <c r="I29" i="20"/>
  <c r="H17" i="15" s="1"/>
  <c r="E10" i="20"/>
  <c r="H67" i="28"/>
  <c r="H21" i="15"/>
  <c r="H58" i="28"/>
  <c r="H72" i="28"/>
  <c r="S24" i="15"/>
  <c r="H66" i="28"/>
  <c r="H23" i="15"/>
  <c r="H22" i="15"/>
  <c r="J14" i="14"/>
  <c r="H9" i="28"/>
  <c r="H59" i="28"/>
  <c r="H45" i="28"/>
  <c r="H57" i="28"/>
  <c r="H44" i="28"/>
  <c r="H210" i="28"/>
  <c r="H19" i="15"/>
  <c r="H20" i="15"/>
  <c r="J67" i="20"/>
  <c r="J55" i="20"/>
  <c r="J68" i="20"/>
  <c r="J56" i="20"/>
  <c r="J23" i="20"/>
  <c r="J38" i="20"/>
  <c r="J57" i="20"/>
  <c r="J24" i="20"/>
  <c r="J76" i="20"/>
  <c r="J58" i="20"/>
  <c r="J16" i="20"/>
  <c r="J25" i="20"/>
  <c r="J17" i="20"/>
  <c r="J80" i="20"/>
  <c r="J18" i="20"/>
  <c r="J19" i="20"/>
  <c r="J43" i="20"/>
  <c r="J77" i="20"/>
  <c r="J65" i="20"/>
  <c r="J78" i="20"/>
  <c r="J14" i="20"/>
  <c r="J21" i="20"/>
  <c r="J54" i="20"/>
  <c r="J66" i="20"/>
  <c r="J79" i="20"/>
  <c r="J26" i="20"/>
  <c r="J69" i="20"/>
  <c r="J27" i="20"/>
  <c r="J70" i="20"/>
  <c r="J20" i="20"/>
  <c r="J59" i="20"/>
  <c r="J15" i="20"/>
  <c r="J22" i="20"/>
  <c r="J48" i="20"/>
  <c r="J60" i="20"/>
  <c r="J75" i="20"/>
  <c r="S18" i="15" l="1"/>
  <c r="J18" i="15"/>
  <c r="I13" i="15"/>
  <c r="J13" i="15" s="1"/>
  <c r="I17" i="15"/>
  <c r="J17" i="15" s="1"/>
  <c r="I22" i="15"/>
  <c r="I23" i="15"/>
  <c r="I20" i="15"/>
  <c r="I19" i="15"/>
  <c r="I21" i="15"/>
  <c r="J16" i="14"/>
  <c r="J29" i="20"/>
  <c r="J35" i="20"/>
  <c r="K13" i="15" l="1"/>
  <c r="P13" i="15"/>
  <c r="S17" i="15"/>
  <c r="S13" i="15"/>
  <c r="S21" i="15"/>
  <c r="J21" i="15"/>
  <c r="S19" i="15"/>
  <c r="J19" i="15"/>
  <c r="S20" i="15"/>
  <c r="J20" i="15"/>
  <c r="S23" i="15"/>
  <c r="J23" i="15"/>
  <c r="S22" i="15"/>
  <c r="J22" i="15"/>
  <c r="E15" i="15"/>
  <c r="J45" i="20"/>
  <c r="J40" i="20"/>
  <c r="J51" i="20" l="1"/>
  <c r="H208" i="28"/>
  <c r="H207" i="28"/>
  <c r="H206" i="28"/>
  <c r="H205" i="28"/>
  <c r="H203" i="28"/>
  <c r="H202" i="28"/>
  <c r="H201" i="28"/>
  <c r="H200" i="28"/>
  <c r="H197" i="28"/>
  <c r="H196" i="28"/>
  <c r="H195" i="28"/>
  <c r="H188" i="28"/>
  <c r="H187" i="28"/>
  <c r="H182" i="28"/>
  <c r="H181" i="28"/>
  <c r="H180" i="28"/>
  <c r="H179" i="28"/>
  <c r="H177" i="28"/>
  <c r="H176" i="28"/>
  <c r="H174" i="28"/>
  <c r="H173" i="28"/>
  <c r="H172" i="28"/>
  <c r="H171" i="28"/>
  <c r="H170" i="28"/>
  <c r="H167" i="28"/>
  <c r="H166" i="28"/>
  <c r="H165" i="28"/>
  <c r="H164" i="28"/>
  <c r="H163" i="28"/>
  <c r="H162" i="28"/>
  <c r="H160" i="28"/>
  <c r="H159" i="28"/>
  <c r="H158" i="28"/>
  <c r="H157" i="28"/>
  <c r="H155" i="28"/>
  <c r="H154" i="28"/>
  <c r="H153" i="28"/>
  <c r="H152" i="28"/>
  <c r="H151" i="28"/>
  <c r="H150" i="28"/>
  <c r="H149" i="28"/>
  <c r="H148" i="28"/>
  <c r="H147" i="28"/>
  <c r="H146" i="28"/>
  <c r="H145" i="28"/>
  <c r="H144" i="28"/>
  <c r="H142" i="28"/>
  <c r="H141" i="28"/>
  <c r="H140" i="28"/>
  <c r="H139" i="28"/>
  <c r="H138" i="28"/>
  <c r="H137" i="28"/>
  <c r="H136" i="28"/>
  <c r="H135" i="28"/>
  <c r="H134" i="28"/>
  <c r="H133" i="28"/>
  <c r="H132" i="28"/>
  <c r="H131" i="28"/>
  <c r="H128" i="28"/>
  <c r="H127" i="28"/>
  <c r="H124" i="28"/>
  <c r="H123" i="28"/>
  <c r="H121" i="28"/>
  <c r="H120" i="28"/>
  <c r="H119" i="28"/>
  <c r="H118" i="28"/>
  <c r="H117" i="28"/>
  <c r="H116" i="28"/>
  <c r="H115" i="28"/>
  <c r="H114" i="28"/>
  <c r="H112" i="28"/>
  <c r="H110" i="28"/>
  <c r="H109" i="28"/>
  <c r="H108" i="28"/>
  <c r="H106" i="28"/>
  <c r="H105" i="28"/>
  <c r="H104" i="28"/>
  <c r="H102" i="28"/>
  <c r="H100" i="28"/>
  <c r="H97" i="28"/>
  <c r="H96" i="28"/>
  <c r="H95" i="28"/>
  <c r="H94" i="28"/>
  <c r="H93" i="28"/>
  <c r="H92" i="28"/>
  <c r="H91" i="28"/>
  <c r="H90" i="28"/>
  <c r="H89" i="28"/>
  <c r="H88" i="28"/>
  <c r="H87" i="28"/>
  <c r="H85" i="28"/>
  <c r="H84" i="28"/>
  <c r="H81" i="28"/>
  <c r="H80" i="28"/>
  <c r="I19" i="14"/>
  <c r="E17" i="14" s="1"/>
  <c r="I56" i="14"/>
  <c r="H39" i="28" s="1"/>
  <c r="H33" i="28"/>
  <c r="I49" i="14"/>
  <c r="I48" i="14"/>
  <c r="H31" i="28" s="1"/>
  <c r="I42" i="14"/>
  <c r="H25" i="28" s="1"/>
  <c r="H32" i="28" l="1"/>
  <c r="H168" i="28"/>
  <c r="H161" i="28"/>
  <c r="H82" i="28"/>
  <c r="H83" i="28"/>
  <c r="H175" i="28"/>
  <c r="H209" i="28"/>
  <c r="H101" i="28"/>
  <c r="H107" i="28"/>
  <c r="H122" i="28"/>
  <c r="H186" i="28"/>
  <c r="H86" i="28"/>
  <c r="H3" i="28"/>
  <c r="H78" i="28"/>
  <c r="H191" i="28"/>
  <c r="H192" i="28"/>
  <c r="H198" i="28"/>
  <c r="H184" i="28"/>
  <c r="H199" i="28"/>
  <c r="H189" i="28"/>
  <c r="H156" i="28"/>
  <c r="H169" i="28"/>
  <c r="H193" i="28"/>
  <c r="H185" i="28"/>
  <c r="H125" i="28"/>
  <c r="H190" i="28"/>
  <c r="H98" i="28"/>
  <c r="H99" i="28"/>
  <c r="F44" i="2"/>
  <c r="F45" i="2" s="1"/>
  <c r="J23" i="14"/>
  <c r="J20" i="14"/>
  <c r="J22" i="14"/>
  <c r="J21" i="14"/>
  <c r="K235" i="15"/>
  <c r="K329" i="15"/>
  <c r="K328" i="15"/>
  <c r="K247" i="15"/>
  <c r="K313" i="15"/>
  <c r="K311" i="15"/>
  <c r="K321" i="15"/>
  <c r="K320" i="15"/>
  <c r="K309" i="15"/>
  <c r="K308" i="15"/>
  <c r="K312" i="15"/>
  <c r="K319" i="15"/>
  <c r="K323" i="15"/>
  <c r="K318" i="15"/>
  <c r="K310" i="15"/>
  <c r="K322" i="15"/>
  <c r="K314" i="15"/>
  <c r="K307" i="15"/>
  <c r="K36" i="15"/>
  <c r="K246" i="15"/>
  <c r="K23" i="15"/>
  <c r="K22" i="15"/>
  <c r="K17" i="15"/>
  <c r="K20" i="15"/>
  <c r="K21" i="15"/>
  <c r="K19" i="15"/>
  <c r="K106" i="15"/>
  <c r="K18" i="15"/>
  <c r="K43" i="15"/>
  <c r="K171" i="15"/>
  <c r="K187" i="15"/>
  <c r="K154" i="15"/>
  <c r="K136" i="15"/>
  <c r="K29" i="15"/>
  <c r="K85" i="15"/>
  <c r="K99" i="15"/>
  <c r="K68" i="15"/>
  <c r="K162" i="15"/>
  <c r="K179" i="15"/>
  <c r="K87" i="15"/>
  <c r="K295" i="15"/>
  <c r="K303" i="15"/>
  <c r="K77" i="15"/>
  <c r="K294" i="15"/>
  <c r="K155" i="15"/>
  <c r="K35" i="15"/>
  <c r="K109" i="15"/>
  <c r="K142" i="15"/>
  <c r="K216" i="15"/>
  <c r="K285" i="15"/>
  <c r="K76" i="15"/>
  <c r="K157" i="15"/>
  <c r="K268" i="15"/>
  <c r="K38" i="15"/>
  <c r="K66" i="15"/>
  <c r="K112" i="15"/>
  <c r="K134" i="15"/>
  <c r="K173" i="15"/>
  <c r="K86" i="15"/>
  <c r="K108" i="15"/>
  <c r="K196" i="15"/>
  <c r="K98" i="15"/>
  <c r="K161" i="15"/>
  <c r="K222" i="15"/>
  <c r="K253" i="15"/>
  <c r="K287" i="15"/>
  <c r="K56" i="15"/>
  <c r="K135" i="15"/>
  <c r="K186" i="15"/>
  <c r="K50" i="15"/>
  <c r="K254" i="15"/>
  <c r="K277" i="15"/>
  <c r="K51" i="15"/>
  <c r="K78" i="15"/>
  <c r="K172" i="15"/>
  <c r="K180" i="15"/>
  <c r="K197" i="15"/>
  <c r="K207" i="15"/>
  <c r="K234" i="15"/>
  <c r="K269" i="15"/>
  <c r="K80" i="15"/>
  <c r="K100" i="15"/>
  <c r="K126" i="15"/>
  <c r="K181" i="15"/>
  <c r="K198" i="15"/>
  <c r="K223" i="15"/>
  <c r="K258" i="15"/>
  <c r="K279" i="15"/>
  <c r="K288" i="15"/>
  <c r="K31" i="15"/>
  <c r="K82" i="15"/>
  <c r="K101" i="15"/>
  <c r="K146" i="15"/>
  <c r="K188" i="15"/>
  <c r="K202" i="15"/>
  <c r="K224" i="15"/>
  <c r="K241" i="15"/>
  <c r="K273" i="15"/>
  <c r="K280" i="15"/>
  <c r="K39" i="15"/>
  <c r="K113" i="15"/>
  <c r="K137" i="15"/>
  <c r="K158" i="15"/>
  <c r="K174" i="15"/>
  <c r="K209" i="15"/>
  <c r="K70" i="15"/>
  <c r="K127" i="15"/>
  <c r="K138" i="15"/>
  <c r="K159" i="15"/>
  <c r="K168" i="15"/>
  <c r="K182" i="15"/>
  <c r="K260" i="15"/>
  <c r="K289" i="15"/>
  <c r="K40" i="15"/>
  <c r="K61" i="15"/>
  <c r="K83" i="15"/>
  <c r="K91" i="15"/>
  <c r="K116" i="15"/>
  <c r="K176" i="15"/>
  <c r="K192" i="15"/>
  <c r="K210" i="15"/>
  <c r="K281" i="15"/>
  <c r="K32" i="15"/>
  <c r="K103" i="15"/>
  <c r="K128" i="15"/>
  <c r="K152" i="15"/>
  <c r="K203" i="15"/>
  <c r="K225" i="15"/>
  <c r="K261" i="15"/>
  <c r="K139" i="15"/>
  <c r="K177" i="15"/>
  <c r="K193" i="15"/>
  <c r="K245" i="15"/>
  <c r="K65" i="15"/>
  <c r="K84" i="15"/>
  <c r="K107" i="15"/>
  <c r="K129" i="15"/>
  <c r="K170" i="15"/>
  <c r="K214" i="15"/>
  <c r="K229" i="15"/>
  <c r="K265" i="15"/>
  <c r="K275" i="15"/>
  <c r="K283" i="15"/>
  <c r="K71" i="15"/>
  <c r="K290" i="15"/>
  <c r="K46" i="15"/>
  <c r="K97" i="15"/>
  <c r="K153" i="15"/>
  <c r="K160" i="15"/>
  <c r="K178" i="15"/>
  <c r="K184" i="15"/>
  <c r="K205" i="15"/>
  <c r="K120" i="15"/>
  <c r="K140" i="15"/>
  <c r="K195" i="15"/>
  <c r="K215" i="15"/>
  <c r="K249" i="15"/>
  <c r="K284" i="15"/>
  <c r="K230" i="15"/>
  <c r="K267" i="15"/>
  <c r="K37" i="15"/>
  <c r="K69" i="15"/>
  <c r="K96" i="15"/>
  <c r="K122" i="15"/>
  <c r="K144" i="15"/>
  <c r="K169" i="15"/>
  <c r="K185" i="15"/>
  <c r="K208" i="15"/>
  <c r="K276" i="15"/>
  <c r="K297" i="15"/>
  <c r="K47" i="15"/>
  <c r="K79" i="15"/>
  <c r="K102" i="15"/>
  <c r="K133" i="15"/>
  <c r="K156" i="15"/>
  <c r="K175" i="15"/>
  <c r="K194" i="15"/>
  <c r="K217" i="15"/>
  <c r="K259" i="15"/>
  <c r="K282" i="15"/>
  <c r="K278" i="15"/>
  <c r="K34" i="15"/>
  <c r="K67" i="15"/>
  <c r="K90" i="15"/>
  <c r="K117" i="15"/>
  <c r="K141" i="15"/>
  <c r="K163" i="15"/>
  <c r="K183" i="15"/>
  <c r="K206" i="15"/>
  <c r="K237" i="15"/>
  <c r="K274" i="15"/>
  <c r="J19" i="14"/>
  <c r="J50" i="14"/>
  <c r="J48" i="14"/>
  <c r="J49" i="14"/>
  <c r="J56" i="14"/>
  <c r="J42" i="14"/>
  <c r="F48" i="2" l="1"/>
  <c r="H327" i="15" s="1"/>
  <c r="J72" i="20"/>
  <c r="J62" i="20"/>
  <c r="I327" i="15" l="1"/>
  <c r="J82" i="20"/>
  <c r="J327" i="15" l="1"/>
  <c r="P327" i="15"/>
  <c r="K327" i="15"/>
  <c r="H8" i="28"/>
  <c r="E325" i="15"/>
  <c r="I46" i="14"/>
  <c r="H29" i="28" s="1"/>
  <c r="I37" i="14"/>
  <c r="H21" i="28" l="1"/>
  <c r="J37" i="14"/>
  <c r="J46" i="14"/>
  <c r="I47" i="14"/>
  <c r="H30" i="28" s="1"/>
  <c r="I45" i="14"/>
  <c r="H28" i="28" s="1"/>
  <c r="I51" i="14"/>
  <c r="H34" i="28" s="1"/>
  <c r="I53" i="14"/>
  <c r="H36" i="28" s="1"/>
  <c r="H35" i="28"/>
  <c r="I40" i="14"/>
  <c r="H24" i="28" s="1"/>
  <c r="I35" i="14"/>
  <c r="I43" i="14"/>
  <c r="H26" i="28" s="1"/>
  <c r="I36" i="14"/>
  <c r="H20" i="28" s="1"/>
  <c r="I54" i="14"/>
  <c r="H37" i="28" s="1"/>
  <c r="I55" i="14"/>
  <c r="H38" i="28" s="1"/>
  <c r="I38" i="14"/>
  <c r="H22" i="28" s="1"/>
  <c r="I44" i="14"/>
  <c r="H27" i="28" s="1"/>
  <c r="H19" i="28" l="1"/>
  <c r="J55" i="14"/>
  <c r="J36" i="14"/>
  <c r="J43" i="14"/>
  <c r="J51" i="14"/>
  <c r="J54" i="14"/>
  <c r="J45" i="14"/>
  <c r="J53" i="14"/>
  <c r="J47" i="14"/>
  <c r="J44" i="14"/>
  <c r="J40" i="14"/>
  <c r="J38" i="14"/>
  <c r="J52" i="14"/>
  <c r="J35" i="14"/>
  <c r="I39" i="14" l="1"/>
  <c r="I58" i="14" l="1"/>
  <c r="J58" i="14" s="1"/>
  <c r="E33" i="14"/>
  <c r="H23" i="28"/>
  <c r="J39" i="14"/>
  <c r="H12" i="15" l="1"/>
  <c r="I12" i="15" s="1"/>
  <c r="J12" i="15" l="1"/>
  <c r="I331" i="15" l="1"/>
  <c r="I336" i="15" s="1"/>
  <c r="K12" i="15"/>
  <c r="P12" i="15"/>
  <c r="E10" i="15"/>
  <c r="E346" i="15" s="1"/>
  <c r="S12" i="15"/>
  <c r="I339" i="15" l="1"/>
  <c r="H217" i="28" s="1"/>
  <c r="I334" i="15"/>
  <c r="K334" i="15" s="1"/>
  <c r="I333" i="15"/>
  <c r="K333" i="15" s="1"/>
  <c r="I335" i="15"/>
  <c r="K335" i="15" s="1"/>
  <c r="I338" i="15"/>
  <c r="K338" i="15" s="1"/>
  <c r="I61" i="14"/>
  <c r="I337" i="15"/>
  <c r="P337" i="15" s="1"/>
  <c r="P336" i="15"/>
  <c r="J336" i="15"/>
  <c r="H212" i="28"/>
  <c r="H211" i="28"/>
  <c r="H213" i="28"/>
  <c r="H215" i="28"/>
  <c r="H214" i="28"/>
  <c r="K336" i="15"/>
  <c r="H216" i="28"/>
  <c r="J335" i="15" l="1"/>
  <c r="P334" i="15"/>
  <c r="P333" i="15"/>
  <c r="J333" i="15"/>
  <c r="J334" i="15"/>
  <c r="P335" i="15"/>
  <c r="J337" i="15"/>
  <c r="K337" i="15"/>
  <c r="J338" i="15"/>
  <c r="P338" i="15"/>
  <c r="E347" i="15"/>
  <c r="E348" i="15" s="1"/>
  <c r="J339" i="15"/>
  <c r="I341" i="15"/>
  <c r="J341" i="15" s="1"/>
  <c r="K339" i="15"/>
  <c r="P341" i="15" l="1"/>
  <c r="O347" i="15" s="1"/>
  <c r="P347" i="15" s="1"/>
  <c r="L25" i="14"/>
  <c r="E349" i="15"/>
  <c r="L35" i="14"/>
  <c r="K341" i="15"/>
</calcChain>
</file>

<file path=xl/sharedStrings.xml><?xml version="1.0" encoding="utf-8"?>
<sst xmlns="http://schemas.openxmlformats.org/spreadsheetml/2006/main" count="3545" uniqueCount="1410">
  <si>
    <t>instructions - include locking and unlocking</t>
  </si>
  <si>
    <t>logo, branding and colors</t>
  </si>
  <si>
    <t>Put on FP Hub and get rid of everything else - FP Hub and Shared Drive</t>
  </si>
  <si>
    <t>STEP 1 - PROJECT DATA</t>
  </si>
  <si>
    <t>STEP 2 - GCs</t>
  </si>
  <si>
    <t>STEP 3 - SITE OPS</t>
  </si>
  <si>
    <t>STEP 4 - ESTIMATE</t>
  </si>
  <si>
    <t>Year</t>
  </si>
  <si>
    <t>Holiday</t>
  </si>
  <si>
    <t>Date</t>
  </si>
  <si>
    <t>New Year's Day</t>
  </si>
  <si>
    <t>Memorial Day</t>
  </si>
  <si>
    <t>Independence Day</t>
  </si>
  <si>
    <t>Labor Day</t>
  </si>
  <si>
    <t>Thanksgiving</t>
  </si>
  <si>
    <t>Day After Thanksgiving</t>
  </si>
  <si>
    <t>Christmas</t>
  </si>
  <si>
    <t>Location</t>
  </si>
  <si>
    <t>Duration</t>
  </si>
  <si>
    <t>Estimator Information</t>
  </si>
  <si>
    <t>Phone Number</t>
  </si>
  <si>
    <t>Email Address</t>
  </si>
  <si>
    <t>Project Information</t>
  </si>
  <si>
    <t>Client Information</t>
  </si>
  <si>
    <t>Ben Urness</t>
  </si>
  <si>
    <t>651 421-1392</t>
  </si>
  <si>
    <t>burness@fpcinc.com</t>
  </si>
  <si>
    <t>Project Name</t>
  </si>
  <si>
    <t>Name</t>
  </si>
  <si>
    <t>Client</t>
  </si>
  <si>
    <t>Cal Pesola</t>
  </si>
  <si>
    <t>612 751-4518</t>
  </si>
  <si>
    <t>cpesola@fpcinc.com</t>
  </si>
  <si>
    <t>Estimate #</t>
  </si>
  <si>
    <t>E26-123</t>
  </si>
  <si>
    <t>Contact Person</t>
  </si>
  <si>
    <t>Calvin Hayes</t>
  </si>
  <si>
    <t>612 202-1934</t>
  </si>
  <si>
    <t>chayes@fpcinc.com</t>
  </si>
  <si>
    <t>Revision #</t>
  </si>
  <si>
    <t>David Cook</t>
  </si>
  <si>
    <t>612 718-9092</t>
  </si>
  <si>
    <t>dcook@fpcinc.com</t>
  </si>
  <si>
    <t>Address</t>
  </si>
  <si>
    <t>1234 Main St</t>
  </si>
  <si>
    <t>Haley Kasper</t>
  </si>
  <si>
    <t>715 292-4851</t>
  </si>
  <si>
    <t>hkasper@fpcinc.com</t>
  </si>
  <si>
    <t>City, State, Zip</t>
  </si>
  <si>
    <t>Minneapolis, MN</t>
  </si>
  <si>
    <t>Bid Due Date</t>
  </si>
  <si>
    <t>Isaac Freitag</t>
  </si>
  <si>
    <t>612 545-7352</t>
  </si>
  <si>
    <t>ifreitag@fpcinc.com</t>
  </si>
  <si>
    <t>Expected Start</t>
  </si>
  <si>
    <t>Jared Houle</t>
  </si>
  <si>
    <t>651 324-7041</t>
  </si>
  <si>
    <t>jhoule@fpcinc.com</t>
  </si>
  <si>
    <t>Expected Finish</t>
  </si>
  <si>
    <t>Justin Gunderson</t>
  </si>
  <si>
    <t>612 366-9181</t>
  </si>
  <si>
    <t>jgunderson@fpcinc.com</t>
  </si>
  <si>
    <t>Project Size</t>
  </si>
  <si>
    <t>Kevin Swanson</t>
  </si>
  <si>
    <t>612 817-6835</t>
  </si>
  <si>
    <t>kswanson@fpcinc.com</t>
  </si>
  <si>
    <t>Architect</t>
  </si>
  <si>
    <t>TBD</t>
  </si>
  <si>
    <t>Spencer Will</t>
  </si>
  <si>
    <t>952 818-4711</t>
  </si>
  <si>
    <t>swill@fpcinc.com</t>
  </si>
  <si>
    <t>Plan Set</t>
  </si>
  <si>
    <t>Target Profit Percentages</t>
  </si>
  <si>
    <t>Contingency, Fee, Insurances</t>
  </si>
  <si>
    <t>Project Size (Low)</t>
  </si>
  <si>
    <t>Project Size (High)</t>
  </si>
  <si>
    <t>Profit %</t>
  </si>
  <si>
    <t>Prepared by</t>
  </si>
  <si>
    <t>Construction Contingency</t>
  </si>
  <si>
    <t>Design Contingency</t>
  </si>
  <si>
    <t>Builders Risk Insurance</t>
  </si>
  <si>
    <t>FP Office</t>
  </si>
  <si>
    <t>10050 Crosstown Cir</t>
  </si>
  <si>
    <t>Special Insurance</t>
  </si>
  <si>
    <t>Eden Prairie, MN 55344</t>
  </si>
  <si>
    <t>General Liability Insurance</t>
  </si>
  <si>
    <t>Bond</t>
  </si>
  <si>
    <t>Fee</t>
  </si>
  <si>
    <t>Project Duration</t>
  </si>
  <si>
    <t>Project Type and Sector</t>
  </si>
  <si>
    <t>Project Type</t>
  </si>
  <si>
    <t>Description</t>
  </si>
  <si>
    <t>Months</t>
  </si>
  <si>
    <t>Adaptive Reuse</t>
  </si>
  <si>
    <t>Repurposing existing buildings for new uses.</t>
  </si>
  <si>
    <t>Weeks</t>
  </si>
  <si>
    <t>Market Sector</t>
  </si>
  <si>
    <t>Ground-Up (New Construction)</t>
  </si>
  <si>
    <t>New builds from scratch.</t>
  </si>
  <si>
    <t>Total Calendar Days</t>
  </si>
  <si>
    <t>Renovation / Remodel</t>
  </si>
  <si>
    <t>Updates or overhauls to existing structures.</t>
  </si>
  <si>
    <t>Working Days</t>
  </si>
  <si>
    <t>Office Tenant Improvement (TI)</t>
  </si>
  <si>
    <t>Interior buildouts for new or existing office tenants.</t>
  </si>
  <si>
    <t>Site Development</t>
  </si>
  <si>
    <t>Prepping land for future construction.</t>
  </si>
  <si>
    <t>Building Permit Calculation</t>
  </si>
  <si>
    <t>Commercial</t>
  </si>
  <si>
    <t>Retail, Grocery Store, Auto, Banks</t>
  </si>
  <si>
    <t>$1.00 - $500.00</t>
  </si>
  <si>
    <t>Restaurant</t>
  </si>
  <si>
    <t>Quick Service Restaurant (QSR), Fast Casual, Casual Dining, Fine Dining, Food Hall, Coffee Shop</t>
  </si>
  <si>
    <t>$501.00 - $2,000.00</t>
  </si>
  <si>
    <t>Healthcare</t>
  </si>
  <si>
    <t>Medical Clinics, Dental Offices, Animal Health/Vet Clinics</t>
  </si>
  <si>
    <t>$2,001.00 - $25,000.00</t>
  </si>
  <si>
    <t>Housing and Hotel</t>
  </si>
  <si>
    <t>Multi-family, Senior Living, Single Family Homes, Hotels</t>
  </si>
  <si>
    <t>$25,001.00 - $50,000.00</t>
  </si>
  <si>
    <t>Industrial</t>
  </si>
  <si>
    <t>Manufacturing, Warehouses, Cold Storage, Self-Storage</t>
  </si>
  <si>
    <t>$50,001.00 - $100,000.00</t>
  </si>
  <si>
    <t>Government</t>
  </si>
  <si>
    <t>City Buildings, Courthouses, Post Offices</t>
  </si>
  <si>
    <t>$100,001.00 - $500,000.00</t>
  </si>
  <si>
    <t>Educational</t>
  </si>
  <si>
    <t>Schools, Colleges, Universities, Daycare</t>
  </si>
  <si>
    <t>$500,001.00 - $1,000,000.00</t>
  </si>
  <si>
    <t>Workplace</t>
  </si>
  <si>
    <t>Office Buildings (Traditional, Open, Hybrid, Coworking)</t>
  </si>
  <si>
    <t>$1,000,001.00 and Up</t>
  </si>
  <si>
    <t>Building Permit Fee</t>
  </si>
  <si>
    <t>Plan Review Fee</t>
  </si>
  <si>
    <t>MN State Surcharge</t>
  </si>
  <si>
    <t>Total Building Permit Cost</t>
  </si>
  <si>
    <t>For Multi-Family / Ground-Ups</t>
  </si>
  <si>
    <t>Enter into Estimate</t>
  </si>
  <si>
    <t>Gross SF</t>
  </si>
  <si>
    <t>03-0000</t>
  </si>
  <si>
    <t>Concrete Strip Footing</t>
  </si>
  <si>
    <t>lf</t>
  </si>
  <si>
    <t># of Units</t>
  </si>
  <si>
    <t>Concrete Fnd Pads</t>
  </si>
  <si>
    <t>ea</t>
  </si>
  <si>
    <t>Concrete Walls</t>
  </si>
  <si>
    <t>sf</t>
  </si>
  <si>
    <t>Building Parameters</t>
  </si>
  <si>
    <t>SOG</t>
  </si>
  <si>
    <t>Quantity</t>
  </si>
  <si>
    <t>Unit</t>
  </si>
  <si>
    <t># of Buildings</t>
  </si>
  <si>
    <t>03-4100</t>
  </si>
  <si>
    <t>Precast Structural Concrete</t>
  </si>
  <si>
    <t>Building Perimeter</t>
  </si>
  <si>
    <t>Building Length (measured down center)</t>
  </si>
  <si>
    <t>03-5413</t>
  </si>
  <si>
    <t>Gypsum Cement Underlayment</t>
  </si>
  <si>
    <t>Building Footprint</t>
  </si>
  <si>
    <t>Podium Area (all levels)</t>
  </si>
  <si>
    <t>04-0000</t>
  </si>
  <si>
    <t>Masonry - Veneer</t>
  </si>
  <si>
    <t>Woodframed Area (including podium level)</t>
  </si>
  <si>
    <t>Amenity Deck</t>
  </si>
  <si>
    <t>06-1000</t>
  </si>
  <si>
    <t>Loose Lumber and Roof Joists</t>
  </si>
  <si>
    <t>Foundation Height Below Grade</t>
  </si>
  <si>
    <t>ft</t>
  </si>
  <si>
    <t>Podium Height Above Grade</t>
  </si>
  <si>
    <t>07-1000</t>
  </si>
  <si>
    <t>Waterproofing</t>
  </si>
  <si>
    <t>Podium to Parapet Height</t>
  </si>
  <si>
    <t>Levels Above Podium</t>
  </si>
  <si>
    <t>07-1413</t>
  </si>
  <si>
    <t>Hot-Fluid-Applied Waterproofing</t>
  </si>
  <si>
    <t>Exterior Skin</t>
  </si>
  <si>
    <t>07-2500</t>
  </si>
  <si>
    <t>Weather Barriers</t>
  </si>
  <si>
    <t>Total</t>
  </si>
  <si>
    <t>Material</t>
  </si>
  <si>
    <t>Percentage</t>
  </si>
  <si>
    <t>Area</t>
  </si>
  <si>
    <t>07-2400</t>
  </si>
  <si>
    <t>Stucco, Plaster, EIFS</t>
  </si>
  <si>
    <t>Precast</t>
  </si>
  <si>
    <t>Rock Face Block</t>
  </si>
  <si>
    <t>07-3113</t>
  </si>
  <si>
    <t>Asphalt Shingles</t>
  </si>
  <si>
    <t>Brick</t>
  </si>
  <si>
    <t>Gutters and Downspouts</t>
  </si>
  <si>
    <t>Stone</t>
  </si>
  <si>
    <t>Metal Panel</t>
  </si>
  <si>
    <t>07-4213</t>
  </si>
  <si>
    <t>Metal Panel Siding</t>
  </si>
  <si>
    <t>ACM Panel</t>
  </si>
  <si>
    <t>07-4600</t>
  </si>
  <si>
    <t>Siding</t>
  </si>
  <si>
    <t>Fiber Cement</t>
  </si>
  <si>
    <t>Stucco</t>
  </si>
  <si>
    <t>07-5000</t>
  </si>
  <si>
    <t>Membrane Roofing</t>
  </si>
  <si>
    <t>Windows/Patio Doors</t>
  </si>
  <si>
    <t>Alum Storefront</t>
  </si>
  <si>
    <t>08-5413</t>
  </si>
  <si>
    <t>Windows and Patio Doors</t>
  </si>
  <si>
    <t>08-4000</t>
  </si>
  <si>
    <t>Aluminum Entrances &amp; Storefronts</t>
  </si>
  <si>
    <t>Low Risk</t>
  </si>
  <si>
    <t>Medium Risk</t>
  </si>
  <si>
    <t>Supervision  &amp;
General Conditions</t>
  </si>
  <si>
    <t>High Risk</t>
  </si>
  <si>
    <t>Bldg. Sqft.</t>
  </si>
  <si>
    <t>Code</t>
  </si>
  <si>
    <t>Utilization</t>
  </si>
  <si>
    <t>Rate</t>
  </si>
  <si>
    <t>Cost/S.F.</t>
  </si>
  <si>
    <t>DIVISION 01 — SUPERVISION</t>
  </si>
  <si>
    <t>GENERAL CONDITIONS</t>
  </si>
  <si>
    <t>01-0410</t>
  </si>
  <si>
    <t>Sr Superintendent</t>
  </si>
  <si>
    <t>hr</t>
  </si>
  <si>
    <t>01-0420</t>
  </si>
  <si>
    <t>Superintendent</t>
  </si>
  <si>
    <t>01-0430</t>
  </si>
  <si>
    <t>Asst. Superintendent</t>
  </si>
  <si>
    <t>Total Supervision</t>
  </si>
  <si>
    <t>DIVISION 01 — DESIGN</t>
  </si>
  <si>
    <t>01-0001</t>
  </si>
  <si>
    <t>Preconstruction Fees</t>
  </si>
  <si>
    <t>ls</t>
  </si>
  <si>
    <t>01-0130</t>
  </si>
  <si>
    <t>Design - Architecture</t>
  </si>
  <si>
    <t>01-0160</t>
  </si>
  <si>
    <t>Design - Civil</t>
  </si>
  <si>
    <t>01-0180</t>
  </si>
  <si>
    <t>Design - MEP</t>
  </si>
  <si>
    <t>01-0210</t>
  </si>
  <si>
    <t>Design - Structural</t>
  </si>
  <si>
    <t>DIVISION 01 — PROJECT MANAGEMENT</t>
  </si>
  <si>
    <t>Min 2%</t>
  </si>
  <si>
    <t>01-0310</t>
  </si>
  <si>
    <t>Project Executive</t>
  </si>
  <si>
    <t>01-0320</t>
  </si>
  <si>
    <t>Sr Project Manager</t>
  </si>
  <si>
    <t>01-0330</t>
  </si>
  <si>
    <t>Project Manager</t>
  </si>
  <si>
    <t>01-0340</t>
  </si>
  <si>
    <t>Project Engineer</t>
  </si>
  <si>
    <t>01-0510</t>
  </si>
  <si>
    <t>Project Assistant</t>
  </si>
  <si>
    <t>DIVISION 01 — GENERAL CONDITIONS</t>
  </si>
  <si>
    <t>01-0610</t>
  </si>
  <si>
    <t>Safety Consultant</t>
  </si>
  <si>
    <t>REQUIRED</t>
  </si>
  <si>
    <t>%</t>
  </si>
  <si>
    <t>Enter this amount in column H when estimate complete</t>
  </si>
  <si>
    <t>01-1000</t>
  </si>
  <si>
    <t>Small Tools</t>
  </si>
  <si>
    <t>mo</t>
  </si>
  <si>
    <t>01-1200</t>
  </si>
  <si>
    <t>Fuel and Vehicle Charges</t>
  </si>
  <si>
    <t>01-1400</t>
  </si>
  <si>
    <t>Travel and Meals</t>
  </si>
  <si>
    <t>01-1600</t>
  </si>
  <si>
    <t>Procore</t>
  </si>
  <si>
    <t>Copies cell from H35</t>
  </si>
  <si>
    <t>01-4010</t>
  </si>
  <si>
    <t>Quality</t>
  </si>
  <si>
    <t>01-5110</t>
  </si>
  <si>
    <t>Temp Office Set up and Takedown</t>
  </si>
  <si>
    <t>Temp Office</t>
  </si>
  <si>
    <t>01-5111</t>
  </si>
  <si>
    <t>Cell Phone</t>
  </si>
  <si>
    <t>01-5112</t>
  </si>
  <si>
    <t>Jobsite Office Equipment</t>
  </si>
  <si>
    <t>01-5114</t>
  </si>
  <si>
    <t>Project Computers / Internet</t>
  </si>
  <si>
    <t>01-5120</t>
  </si>
  <si>
    <t>Storage Trailer</t>
  </si>
  <si>
    <t>01-5130</t>
  </si>
  <si>
    <t>Dumpsters</t>
  </si>
  <si>
    <t>01-5140</t>
  </si>
  <si>
    <t>Temporary Toilets</t>
  </si>
  <si>
    <t>01-5150</t>
  </si>
  <si>
    <t>Temporary Fire Extinguishers</t>
  </si>
  <si>
    <t>01-5160</t>
  </si>
  <si>
    <t>Temporary Project Signs</t>
  </si>
  <si>
    <t>01-5170</t>
  </si>
  <si>
    <t>Temporary Electric</t>
  </si>
  <si>
    <t>01-5180</t>
  </si>
  <si>
    <t>Temporary Gas (not winter heat)</t>
  </si>
  <si>
    <t>01-5190</t>
  </si>
  <si>
    <t>Temporary Water</t>
  </si>
  <si>
    <t>01-6010</t>
  </si>
  <si>
    <t>Courier services</t>
  </si>
  <si>
    <t>01-6020</t>
  </si>
  <si>
    <t>Plan Reproduction</t>
  </si>
  <si>
    <t>01-7010</t>
  </si>
  <si>
    <t>Legal Fees</t>
  </si>
  <si>
    <t>Total Design, PM and GCs</t>
  </si>
  <si>
    <t>GCs by %</t>
  </si>
  <si>
    <t>Site Operations</t>
  </si>
  <si>
    <t>02-0000 — SITE OPERATIONS</t>
  </si>
  <si>
    <t>02-3200</t>
  </si>
  <si>
    <t>Soil Borings</t>
  </si>
  <si>
    <t>02-5100</t>
  </si>
  <si>
    <t>FFE Relocation</t>
  </si>
  <si>
    <t>02-8213</t>
  </si>
  <si>
    <t>Abatement</t>
  </si>
  <si>
    <t>02-9010</t>
  </si>
  <si>
    <t>Progress Cleaning - Payroll</t>
  </si>
  <si>
    <t>Progress Cleaning - Hired</t>
  </si>
  <si>
    <t>02-9015</t>
  </si>
  <si>
    <t xml:space="preserve">Safety  </t>
  </si>
  <si>
    <t>02-9020</t>
  </si>
  <si>
    <t>Temp Protection</t>
  </si>
  <si>
    <t>02-9025</t>
  </si>
  <si>
    <t>Temporary Partitions</t>
  </si>
  <si>
    <t>02-9030</t>
  </si>
  <si>
    <t>Traffic Control and Jersey Barriers</t>
  </si>
  <si>
    <t>02-9035</t>
  </si>
  <si>
    <t>Temporary Fencing</t>
  </si>
  <si>
    <t>02-9040</t>
  </si>
  <si>
    <t>Scrim</t>
  </si>
  <si>
    <t>02-9045</t>
  </si>
  <si>
    <t>Temp Access Roads</t>
  </si>
  <si>
    <t>02-9050</t>
  </si>
  <si>
    <t>Site Security</t>
  </si>
  <si>
    <t>02-9055</t>
  </si>
  <si>
    <t>Site Security Cameras</t>
  </si>
  <si>
    <t>02-9060</t>
  </si>
  <si>
    <t>Jobsite Camera</t>
  </si>
  <si>
    <t>02-9065</t>
  </si>
  <si>
    <t>Construction Permits (not building permit)</t>
  </si>
  <si>
    <t>Total Site Operations</t>
  </si>
  <si>
    <t>02-4100 — DEMOLITION</t>
  </si>
  <si>
    <t>02-4100</t>
  </si>
  <si>
    <t>Demolition</t>
  </si>
  <si>
    <t>Demolition - Sawcutting</t>
  </si>
  <si>
    <t>Total Demolition</t>
  </si>
  <si>
    <t>02-9005 — FINAL CLEANING</t>
  </si>
  <si>
    <t>02-9005</t>
  </si>
  <si>
    <t>Final Cleaning</t>
  </si>
  <si>
    <t>Total Final Cleaning</t>
  </si>
  <si>
    <t>02-9070 — SWPPP PERMIT</t>
  </si>
  <si>
    <t>02-9070</t>
  </si>
  <si>
    <t>SWPPP Permit</t>
  </si>
  <si>
    <t>Total SWPPP Permit</t>
  </si>
  <si>
    <t>02-9200 — SURVEY &amp; LAYOUT</t>
  </si>
  <si>
    <t>02-9200</t>
  </si>
  <si>
    <t>Survey &amp; Layout</t>
  </si>
  <si>
    <t>Survey &amp; Layout - Floor Scanning</t>
  </si>
  <si>
    <t>Total Survey and Layout</t>
  </si>
  <si>
    <t>02-9300 — BUILDING AND SITE SERVICES</t>
  </si>
  <si>
    <t>02-9305</t>
  </si>
  <si>
    <t>City Requirements</t>
  </si>
  <si>
    <t>02-9307</t>
  </si>
  <si>
    <t>Knox Box</t>
  </si>
  <si>
    <t>02-9310</t>
  </si>
  <si>
    <t>Permanent Power Service</t>
  </si>
  <si>
    <t>02-9315</t>
  </si>
  <si>
    <t>Temporary Power Service</t>
  </si>
  <si>
    <t>02-9320</t>
  </si>
  <si>
    <t>Gas Service</t>
  </si>
  <si>
    <t>02-9325</t>
  </si>
  <si>
    <t>Cable Service</t>
  </si>
  <si>
    <t>02-9330</t>
  </si>
  <si>
    <t>Data Service</t>
  </si>
  <si>
    <t>Total Building and Site Services</t>
  </si>
  <si>
    <t>02-9400 — SITE EQUIPMENT</t>
  </si>
  <si>
    <t>02-9405</t>
  </si>
  <si>
    <t>Material Hoist / Trash Chute</t>
  </si>
  <si>
    <t>02-9410</t>
  </si>
  <si>
    <t>Scaffolding &amp; Platforms</t>
  </si>
  <si>
    <t>02-9415</t>
  </si>
  <si>
    <t>Crane Rental</t>
  </si>
  <si>
    <t>02-9420</t>
  </si>
  <si>
    <t>Equipment Rental</t>
  </si>
  <si>
    <t>02-9425</t>
  </si>
  <si>
    <t>Forklift Rental</t>
  </si>
  <si>
    <t>02-9430</t>
  </si>
  <si>
    <t>Street Sweeping</t>
  </si>
  <si>
    <t>Total Site Equipment</t>
  </si>
  <si>
    <t>02-9500 — SPECIAL INSPECTIONS</t>
  </si>
  <si>
    <t>02-9505</t>
  </si>
  <si>
    <t>Construction Materials Testing</t>
  </si>
  <si>
    <t>02-9510</t>
  </si>
  <si>
    <t>Vibration Monitoring</t>
  </si>
  <si>
    <t>02-9515</t>
  </si>
  <si>
    <t>Acoustic Testing</t>
  </si>
  <si>
    <t>02-9520</t>
  </si>
  <si>
    <t>Window Testing</t>
  </si>
  <si>
    <t>02-9525</t>
  </si>
  <si>
    <t>Weather Barrier Testing</t>
  </si>
  <si>
    <t>02-9530</t>
  </si>
  <si>
    <t>Gypcrete Testing</t>
  </si>
  <si>
    <t>Total Site Special Inspections</t>
  </si>
  <si>
    <t>Detailed Estimate</t>
  </si>
  <si>
    <t>TYPE</t>
  </si>
  <si>
    <t>Unit Price</t>
  </si>
  <si>
    <t>Cost/Unit</t>
  </si>
  <si>
    <t>Vendor</t>
  </si>
  <si>
    <t>Actual</t>
  </si>
  <si>
    <t>TI</t>
  </si>
  <si>
    <t>General Conditions</t>
  </si>
  <si>
    <t>Fendler Patterson</t>
  </si>
  <si>
    <t>Supervision</t>
  </si>
  <si>
    <t>DIVISION 02 — SITE OPERATIONS</t>
  </si>
  <si>
    <t>SITE OPERATIONS</t>
  </si>
  <si>
    <t>Survey and Layout</t>
  </si>
  <si>
    <t>Building and Site Services</t>
  </si>
  <si>
    <t>Site Equipment</t>
  </si>
  <si>
    <t>Special Inspections</t>
  </si>
  <si>
    <t>DIVISION 03 — CONCRETE</t>
  </si>
  <si>
    <t>CONCRETE</t>
  </si>
  <si>
    <t>Cast In-Place Concrete</t>
  </si>
  <si>
    <t>Footings</t>
  </si>
  <si>
    <t>cy</t>
  </si>
  <si>
    <t>Concrete Columns</t>
  </si>
  <si>
    <t>Under-Slab Insulation</t>
  </si>
  <si>
    <t>Topping Slab on Precast Parking</t>
  </si>
  <si>
    <t>Amenity Deck Topping Slab and Finished Slab</t>
  </si>
  <si>
    <t>Post Tension Concrete</t>
  </si>
  <si>
    <t>Concrete Patios</t>
  </si>
  <si>
    <t>POLISHED CONCRETE</t>
  </si>
  <si>
    <t>Polished Concrete</t>
  </si>
  <si>
    <t>PRECAST CONCRETE</t>
  </si>
  <si>
    <t>Precast Architectural Concrete</t>
  </si>
  <si>
    <t>GYPSUM  CEMENT UNDERLAYMENT</t>
  </si>
  <si>
    <t>Gypsum Cement (Subtract Podium Level If Pt)</t>
  </si>
  <si>
    <t>DIVISION 04 — MASONRY</t>
  </si>
  <si>
    <t>MASONRY</t>
  </si>
  <si>
    <t>Masonry</t>
  </si>
  <si>
    <t>Masonry - CMU Backup Around Building</t>
  </si>
  <si>
    <t>Masonry - CMU In Garage</t>
  </si>
  <si>
    <t>Masonry - Modular Brick Veneer</t>
  </si>
  <si>
    <t>Masonry - Thin Brick</t>
  </si>
  <si>
    <t>Masonry - Arriscraft</t>
  </si>
  <si>
    <t>Masonry - PC Sill</t>
  </si>
  <si>
    <t>DIVISION 05 — METALS</t>
  </si>
  <si>
    <t>METALS</t>
  </si>
  <si>
    <t xml:space="preserve">Structural Steel </t>
  </si>
  <si>
    <t>Metal Fabrications</t>
  </si>
  <si>
    <t xml:space="preserve">Aluminum Decks </t>
  </si>
  <si>
    <t xml:space="preserve">Aluminum Decks - Juliette </t>
  </si>
  <si>
    <t>Aluminum Decks - Railing Only Balcony</t>
  </si>
  <si>
    <t>Aluminum Railings - F&amp;I</t>
  </si>
  <si>
    <t>Aluminum Decks And Railings - Installation</t>
  </si>
  <si>
    <t>DIVISION 06 — WOOD, PLASTICS, COMPOSITES</t>
  </si>
  <si>
    <t>ROUGH CARPENTRY</t>
  </si>
  <si>
    <t>Rough Carpentry Materials (Loose and Joists)</t>
  </si>
  <si>
    <t>Rough Carpentry Installation</t>
  </si>
  <si>
    <t>Manufactured Wall Panels</t>
  </si>
  <si>
    <t>Shop-Fabricated Wood Trusses</t>
  </si>
  <si>
    <t>Glu-Laminated Construction</t>
  </si>
  <si>
    <t>Finish Carpentry Installation</t>
  </si>
  <si>
    <t>Finish Carpentry Installation - Doors</t>
  </si>
  <si>
    <t>Millwork</t>
  </si>
  <si>
    <t>Architectural Casework and Millwork</t>
  </si>
  <si>
    <t>Simulated Stone Fabrications</t>
  </si>
  <si>
    <t>Solid Surfacing And Ctops</t>
  </si>
  <si>
    <t>FRP Wall Paneling</t>
  </si>
  <si>
    <t>PERGOLAS AND COMPOSITE</t>
  </si>
  <si>
    <t>Composite Decking</t>
  </si>
  <si>
    <t>Pergolas</t>
  </si>
  <si>
    <t>DIVISION 07 — THERMAL &amp; MOISTURE PROTECTION</t>
  </si>
  <si>
    <t>WATERPROOFING AND AIR BARRIERS</t>
  </si>
  <si>
    <t>Elevator Waterproofing</t>
  </si>
  <si>
    <t>Per 2" Insulation</t>
  </si>
  <si>
    <t>Patios</t>
  </si>
  <si>
    <t>Sky Deck</t>
  </si>
  <si>
    <t>Restaurant / Commercial Patios</t>
  </si>
  <si>
    <t>Traffic Coatings</t>
  </si>
  <si>
    <t>THERMAL PROTECTION</t>
  </si>
  <si>
    <t>Thermal Insulation</t>
  </si>
  <si>
    <t>Stucco, Plaster, Eifs</t>
  </si>
  <si>
    <t>Spray-Applied Air Barriers</t>
  </si>
  <si>
    <t>ASPHALT SHINGLE ROOFING SYSTEMS</t>
  </si>
  <si>
    <t>Gutters And Downspouts</t>
  </si>
  <si>
    <t>SIDING and METAL WALL PANELS</t>
  </si>
  <si>
    <t>MEMBRANE and METAL ROOFING SYSTEMS</t>
  </si>
  <si>
    <t>Metal Roofing</t>
  </si>
  <si>
    <t>Sheet Metal Flashing</t>
  </si>
  <si>
    <t>Roof Pavers</t>
  </si>
  <si>
    <t>FIRESTOPPING and JOINT PROTECTION</t>
  </si>
  <si>
    <t>Applied Fire Proofing</t>
  </si>
  <si>
    <t>Firestopping</t>
  </si>
  <si>
    <t>Joint Sealants</t>
  </si>
  <si>
    <t>Expansion Joints</t>
  </si>
  <si>
    <t>DIVISION 08 — OPENINGS</t>
  </si>
  <si>
    <t>Doors, Frames and Hardware</t>
  </si>
  <si>
    <t>Specialty Doors and Frames</t>
  </si>
  <si>
    <t>Access Doors and Panels</t>
  </si>
  <si>
    <t>Overhead and Coiling Doors</t>
  </si>
  <si>
    <t>Aluminum Entrances and Storefronts</t>
  </si>
  <si>
    <t>Aluminum Storefront Doors</t>
  </si>
  <si>
    <t xml:space="preserve">Curtain Wall  </t>
  </si>
  <si>
    <t>Aluminum Windows and Patio Doors</t>
  </si>
  <si>
    <t>Windows and Patio Doors - Installation</t>
  </si>
  <si>
    <t>Roof Windows and Skylights</t>
  </si>
  <si>
    <t>Glazing</t>
  </si>
  <si>
    <t>Mirrors</t>
  </si>
  <si>
    <t>Mirrors - Residential</t>
  </si>
  <si>
    <t>Window Film</t>
  </si>
  <si>
    <t>Louvers and Vents</t>
  </si>
  <si>
    <t>DIVISION 09 — FINISHES</t>
  </si>
  <si>
    <t>PARTITIONS &amp; FINISHES</t>
  </si>
  <si>
    <t>Gypsum Board Assemblies</t>
  </si>
  <si>
    <t>Steel Stud Metal Framing</t>
  </si>
  <si>
    <t>Tile</t>
  </si>
  <si>
    <t>Acoustical Ceilings</t>
  </si>
  <si>
    <t>Wood Flooring</t>
  </si>
  <si>
    <t>Resilient Flooring</t>
  </si>
  <si>
    <t>Terrazzo Flooring</t>
  </si>
  <si>
    <t>Carpeting</t>
  </si>
  <si>
    <t>sy</t>
  </si>
  <si>
    <t>Wall Coverings</t>
  </si>
  <si>
    <t>Painting</t>
  </si>
  <si>
    <t>Intumescent Painting</t>
  </si>
  <si>
    <t>Epoxy Flooring</t>
  </si>
  <si>
    <t>DIVISION 10 — SPECIALTIES</t>
  </si>
  <si>
    <t>Specialties</t>
  </si>
  <si>
    <t>Signage</t>
  </si>
  <si>
    <t>Signage - Exterior Building, Retail, Restaurant</t>
  </si>
  <si>
    <t>Signage - Monument Sign</t>
  </si>
  <si>
    <t>Traffic Signage</t>
  </si>
  <si>
    <t>Toilet Partitions</t>
  </si>
  <si>
    <t>Wire Mesh Storage Cages</t>
  </si>
  <si>
    <t>Operable Partitions</t>
  </si>
  <si>
    <t>Wall and Door Protection</t>
  </si>
  <si>
    <t>Toilet and Bath Accessories</t>
  </si>
  <si>
    <t>Tub and Shower Doors</t>
  </si>
  <si>
    <t>Manufactured Fireplaces</t>
  </si>
  <si>
    <t>Manufactured Fireplaces - Commons</t>
  </si>
  <si>
    <t>Outdoor Fire Pits</t>
  </si>
  <si>
    <t>Fire Extinguishers and Cabinets</t>
  </si>
  <si>
    <t>Lockers</t>
  </si>
  <si>
    <t>Postal Specialties</t>
  </si>
  <si>
    <t>Package Concierge</t>
  </si>
  <si>
    <t>Closet Shelving</t>
  </si>
  <si>
    <t>Awnings and Canopies</t>
  </si>
  <si>
    <t>Flagpoles</t>
  </si>
  <si>
    <t>Golf Simulator</t>
  </si>
  <si>
    <t>DIVISION 11 — EQUIPMENT</t>
  </si>
  <si>
    <t>Loading Dock Equip</t>
  </si>
  <si>
    <t>Window Washing System</t>
  </si>
  <si>
    <t>Appliances</t>
  </si>
  <si>
    <t>Outdoor Gas Grill</t>
  </si>
  <si>
    <t>Food Service Equipment</t>
  </si>
  <si>
    <t>Recreational Equipment</t>
  </si>
  <si>
    <t>Trash Compactors</t>
  </si>
  <si>
    <t>DIVISION 12 — FURNISHINGS</t>
  </si>
  <si>
    <t>Window Treatments</t>
  </si>
  <si>
    <t>Residential Casework - Material</t>
  </si>
  <si>
    <t>Residential Casework - Installation</t>
  </si>
  <si>
    <t xml:space="preserve">Healthcare Casework and FFE </t>
  </si>
  <si>
    <t>Residential Countertops</t>
  </si>
  <si>
    <t>Window Sills</t>
  </si>
  <si>
    <t>Furnishings and Accessories</t>
  </si>
  <si>
    <t>Entrance Floor Mats and Frames</t>
  </si>
  <si>
    <t>Bike Equipment and Racks</t>
  </si>
  <si>
    <t>DIVISION 13 — SPECIAL CONSTRUCTION</t>
  </si>
  <si>
    <t>Swimming Pool</t>
  </si>
  <si>
    <t>Spa</t>
  </si>
  <si>
    <t>Pet Equipment</t>
  </si>
  <si>
    <t>Saunas</t>
  </si>
  <si>
    <t>Post Frame Building Systems</t>
  </si>
  <si>
    <t>DIVISION 14 — CONVEYING EQUIPMENT</t>
  </si>
  <si>
    <t>Conveying Equipment</t>
  </si>
  <si>
    <t>Elevators</t>
  </si>
  <si>
    <t>stop</t>
  </si>
  <si>
    <t>Wheelchair Lifts</t>
  </si>
  <si>
    <t>Trash Chute</t>
  </si>
  <si>
    <t>flr</t>
  </si>
  <si>
    <t>DIVISION 21 — FIRE SUPPRESSION</t>
  </si>
  <si>
    <t>Fire Suppression System</t>
  </si>
  <si>
    <t>Fire Pump</t>
  </si>
  <si>
    <t>DIVISION 22 — PLUMBING</t>
  </si>
  <si>
    <t>Plumbing</t>
  </si>
  <si>
    <t>Plumbing - Fixtures</t>
  </si>
  <si>
    <t>Domestic Water Pump</t>
  </si>
  <si>
    <t>Shower Pans</t>
  </si>
  <si>
    <t>DIVISION 23 — HVAC</t>
  </si>
  <si>
    <t xml:space="preserve">HVAC  </t>
  </si>
  <si>
    <t>DIVISION 26 — ELECTRICAL</t>
  </si>
  <si>
    <t>Electrical</t>
  </si>
  <si>
    <t>Electrical - Fixtures</t>
  </si>
  <si>
    <t>Electrical - EV Charging</t>
  </si>
  <si>
    <t>Electrical - Site Lighting</t>
  </si>
  <si>
    <t>Electrical - Fire Pump Wiring</t>
  </si>
  <si>
    <t>DIVISION 27 — COMMUNICATIONS</t>
  </si>
  <si>
    <t>Data Communications</t>
  </si>
  <si>
    <t>Audio-Video Communications</t>
  </si>
  <si>
    <t>DIVISION 28 — ELECTRONIC SAFETY AND SECURITY</t>
  </si>
  <si>
    <t>Access Control</t>
  </si>
  <si>
    <t>Video Surveillance</t>
  </si>
  <si>
    <t>Fire Detection And Alarm</t>
  </si>
  <si>
    <t>Radio Amplification System</t>
  </si>
  <si>
    <t>DIVISION 31 — EARTHWORK</t>
  </si>
  <si>
    <t>Earthwork</t>
  </si>
  <si>
    <t>Radon Mitigation</t>
  </si>
  <si>
    <t>Erosion Control</t>
  </si>
  <si>
    <t>Shoring</t>
  </si>
  <si>
    <t>Piles, Piers And Caissons</t>
  </si>
  <si>
    <t>DIVISION 32 — EXTERIOR IMPROVEMENTS</t>
  </si>
  <si>
    <t>Asphalt Paving</t>
  </si>
  <si>
    <t>Asphalt Paving - Light Duty</t>
  </si>
  <si>
    <t>Asphalt Paving - Heavy Duty</t>
  </si>
  <si>
    <t>Concrete Paving</t>
  </si>
  <si>
    <t>Decorative Concrete Paving</t>
  </si>
  <si>
    <t>Pervious Concrete Paving</t>
  </si>
  <si>
    <t>Unit Pavers</t>
  </si>
  <si>
    <t>Site Concrete</t>
  </si>
  <si>
    <t>Surmountable Curb</t>
  </si>
  <si>
    <t>B612 Curb</t>
  </si>
  <si>
    <t>Cross Gutter</t>
  </si>
  <si>
    <t>Light Duty Concrete</t>
  </si>
  <si>
    <t>Heavy Duty Concrete</t>
  </si>
  <si>
    <t>Pavement Markings</t>
  </si>
  <si>
    <t>Artificial Turf</t>
  </si>
  <si>
    <t>Fences and Gates</t>
  </si>
  <si>
    <t>Retaining Walls</t>
  </si>
  <si>
    <t>Landscaping And Irrigation</t>
  </si>
  <si>
    <t>DIVISION 33 — UTILITIES</t>
  </si>
  <si>
    <t>Utilities</t>
  </si>
  <si>
    <t>Water</t>
  </si>
  <si>
    <t xml:space="preserve">Sanitary </t>
  </si>
  <si>
    <t>Sanitary - Structure</t>
  </si>
  <si>
    <t>Storm - 6" - 10"</t>
  </si>
  <si>
    <t>Storm - 12" - 18"</t>
  </si>
  <si>
    <t>Storm - 24" - 36"</t>
  </si>
  <si>
    <t>Storm - 42" - 60"</t>
  </si>
  <si>
    <t>Storm - Structure</t>
  </si>
  <si>
    <t>Storm - UG Retention</t>
  </si>
  <si>
    <t>gal</t>
  </si>
  <si>
    <t>DIVISION 50 — WINTER CONDITIONS</t>
  </si>
  <si>
    <t>Winter Conditions</t>
  </si>
  <si>
    <t>Temp Enclosures</t>
  </si>
  <si>
    <t>Temp Heaters</t>
  </si>
  <si>
    <t>Temp Gas</t>
  </si>
  <si>
    <t>Wiring for Temp Heaters</t>
  </si>
  <si>
    <t>Temp Gas Piping</t>
  </si>
  <si>
    <t>Poly Windows</t>
  </si>
  <si>
    <t>Snow Removal</t>
  </si>
  <si>
    <t>DIVISION 80 — ALLOWANCES</t>
  </si>
  <si>
    <t>ALLOWANCES</t>
  </si>
  <si>
    <t>PERMITS</t>
  </si>
  <si>
    <t>Building Permit</t>
  </si>
  <si>
    <t>Demolition Permit</t>
  </si>
  <si>
    <t>City Licenses and Misc Permits</t>
  </si>
  <si>
    <t>SUBTOTAL</t>
  </si>
  <si>
    <t>NA</t>
  </si>
  <si>
    <t>TOTAL</t>
  </si>
  <si>
    <t>TOTAL PROJECTED COST</t>
  </si>
  <si>
    <t>Totals from Column E</t>
  </si>
  <si>
    <t>Projected Profit</t>
  </si>
  <si>
    <t>Contingency, Insurance and Fee</t>
  </si>
  <si>
    <t>Equals Totals from Column I</t>
  </si>
  <si>
    <t>Value Engineering / Project Alternates</t>
  </si>
  <si>
    <t>Pricing Legend</t>
  </si>
  <si>
    <t xml:space="preserve">P </t>
  </si>
  <si>
    <t>= Preliminary</t>
  </si>
  <si>
    <t>A</t>
  </si>
  <si>
    <t>= Allowance</t>
  </si>
  <si>
    <t>C</t>
  </si>
  <si>
    <t>= Confirmed</t>
  </si>
  <si>
    <t>Estimated Cost</t>
  </si>
  <si>
    <t>Pricing Type</t>
  </si>
  <si>
    <t>Accepted
(In Estimate)</t>
  </si>
  <si>
    <t>Accepted
(Pending Estimate)</t>
  </si>
  <si>
    <t>Pending</t>
  </si>
  <si>
    <t>Rejected</t>
  </si>
  <si>
    <t>Ball-in-Court</t>
  </si>
  <si>
    <t>Comments</t>
  </si>
  <si>
    <t>Alternate 01:</t>
  </si>
  <si>
    <t>Example</t>
  </si>
  <si>
    <t>P</t>
  </si>
  <si>
    <t>Notes</t>
  </si>
  <si>
    <t>Alternate 02:</t>
  </si>
  <si>
    <t>Alternate 03:</t>
  </si>
  <si>
    <t>Alternate 04:</t>
  </si>
  <si>
    <t>DIVISION 06 — WOOD, PLASTICS, AND COMPOSITES</t>
  </si>
  <si>
    <t>DIVISION 07 — THERMAL AND MOISTURE PROTECTION</t>
  </si>
  <si>
    <t>P1</t>
  </si>
  <si>
    <t>P2</t>
  </si>
  <si>
    <t>P3</t>
  </si>
  <si>
    <t>P4</t>
  </si>
  <si>
    <t>P5</t>
  </si>
  <si>
    <t>TOTALS</t>
  </si>
  <si>
    <t>Alt Markup %</t>
  </si>
  <si>
    <t xml:space="preserve"> </t>
  </si>
  <si>
    <t>Vendor Cost</t>
  </si>
  <si>
    <t>Total:</t>
  </si>
  <si>
    <t>Alternate 05:</t>
  </si>
  <si>
    <t>Alternate 06:</t>
  </si>
  <si>
    <t>Alternate 07:</t>
  </si>
  <si>
    <t>Alternate 08:</t>
  </si>
  <si>
    <t>Alternate 09:</t>
  </si>
  <si>
    <t>Alternate 10:</t>
  </si>
  <si>
    <t>Alternate 11:</t>
  </si>
  <si>
    <t>Alternate 12:</t>
  </si>
  <si>
    <t>Alternate 13:</t>
  </si>
  <si>
    <t>Alternate 14:</t>
  </si>
  <si>
    <t>Alternate 15:</t>
  </si>
  <si>
    <t>Alternate 16:</t>
  </si>
  <si>
    <t>Alternate 17:</t>
  </si>
  <si>
    <t>Alternate 18:</t>
  </si>
  <si>
    <t>Alternate 19:</t>
  </si>
  <si>
    <t>Alternate 20:</t>
  </si>
  <si>
    <t>Alternate 21:</t>
  </si>
  <si>
    <t>Alternate 22:</t>
  </si>
  <si>
    <t>Alternate 23:</t>
  </si>
  <si>
    <t>Alternate 24:</t>
  </si>
  <si>
    <t>Alternate 25:</t>
  </si>
  <si>
    <t>Alternate 26:</t>
  </si>
  <si>
    <t>Total Costs</t>
  </si>
  <si>
    <t>Winter Conditions Estimate</t>
  </si>
  <si>
    <t xml:space="preserve">Actual </t>
  </si>
  <si>
    <t>Forecasted</t>
  </si>
  <si>
    <t>Season 1</t>
  </si>
  <si>
    <t>Season 2</t>
  </si>
  <si>
    <t>Nov</t>
  </si>
  <si>
    <t>Dec</t>
  </si>
  <si>
    <t>Jan</t>
  </si>
  <si>
    <t>Feb</t>
  </si>
  <si>
    <t>Mar</t>
  </si>
  <si>
    <t>Apr</t>
  </si>
  <si>
    <t>Seasonal Rental Heaters</t>
  </si>
  <si>
    <t>Rental Equipment</t>
  </si>
  <si>
    <t>Plowing and Snow Removal</t>
  </si>
  <si>
    <t>Concrete Subcontractor</t>
  </si>
  <si>
    <t>Masonry Subcontractor</t>
  </si>
  <si>
    <t>Mechanical Contractor</t>
  </si>
  <si>
    <t>Earthwork Contractor</t>
  </si>
  <si>
    <t>FP Labor</t>
  </si>
  <si>
    <t>Natural Gas</t>
  </si>
  <si>
    <t>Propane</t>
  </si>
  <si>
    <t>Petroleum</t>
  </si>
  <si>
    <t>Misc, Materials, Lumber, Poly</t>
  </si>
  <si>
    <t>Adjustment</t>
  </si>
  <si>
    <t xml:space="preserve">Total Winter Conditions </t>
  </si>
  <si>
    <t>Allowance</t>
  </si>
  <si>
    <t>Net Change</t>
  </si>
  <si>
    <t>STANDARD CLARIFICATIONS AND EXCLUSIONS</t>
  </si>
  <si>
    <t>Handling or removal of hazardous materials.</t>
  </si>
  <si>
    <t>Builders Risk insurance policies.</t>
  </si>
  <si>
    <t>All bonds or any forms of security</t>
  </si>
  <si>
    <t>Special inspections and testing.</t>
  </si>
  <si>
    <t>Utility company charges of any kind. Any costs due to utility company requirements are not included.</t>
  </si>
  <si>
    <t xml:space="preserve">SAC / WAC fees or any governmental related fees other than the building permit. </t>
  </si>
  <si>
    <t>NPDES Permit.</t>
  </si>
  <si>
    <t>Soil corrections or buried debris / rubble.</t>
  </si>
  <si>
    <t>Design fees of any kind.</t>
  </si>
  <si>
    <t>Soil borings or geological reports.</t>
  </si>
  <si>
    <t>Miscellaneous site accessories including benches, bike racks, planters, and similar site elements.</t>
  </si>
  <si>
    <t xml:space="preserve">Engineered as built surveys, site plans or building plans. </t>
  </si>
  <si>
    <t>City required escrows, bonds and/or letters of credit, or any similar financial guarantees for any project improvements.</t>
  </si>
  <si>
    <t>Window treatments.</t>
  </si>
  <si>
    <t>Specific keying or re-keying of door hardware / access systems.</t>
  </si>
  <si>
    <t>Security, data, fire alarm, phone, A/V, etc.</t>
  </si>
  <si>
    <t>Any costs associated with or incurred by weather typically referred to as Winter Conditions.</t>
  </si>
  <si>
    <t>Any costs specifically not mentioned or itemized.</t>
  </si>
  <si>
    <t>Minor surface and cosmetic cracking of new concrete is an inherent characteristic of concrete and shall not be considered a defect, grounds for rejection, or a warranty item.</t>
  </si>
  <si>
    <t>Any areas of the site that call for seed are not covered under warranty.</t>
  </si>
  <si>
    <t>All work to be completed during normal business hours unless otherwise noted.</t>
  </si>
  <si>
    <t>Due to current market volatility, unforeseen material price escalations are excluded and shall be the responsibility of the Owner.</t>
  </si>
  <si>
    <t>PROJECT CLARIFICATIONS AND EXCLUSIONS</t>
  </si>
  <si>
    <t>Per Diem</t>
  </si>
  <si>
    <t>DIVISION 01 — FUEL AND VEHICLE CHARGES</t>
  </si>
  <si>
    <t xml:space="preserve">mi </t>
  </si>
  <si>
    <t>DIVISION 01 — TRAVEL AND MEALS</t>
  </si>
  <si>
    <t>dy</t>
  </si>
  <si>
    <t>Total Per Diem</t>
  </si>
  <si>
    <t>Distance to Site</t>
  </si>
  <si>
    <t>Overnight Stay</t>
  </si>
  <si>
    <t>Project Name:</t>
  </si>
  <si>
    <t>Location:</t>
  </si>
  <si>
    <t>Project Type:</t>
  </si>
  <si>
    <t>Date:</t>
  </si>
  <si>
    <t>Construction Duration:</t>
  </si>
  <si>
    <t>CRANE #1</t>
  </si>
  <si>
    <t>CRANE #2</t>
  </si>
  <si>
    <t>Crane Duration</t>
  </si>
  <si>
    <t>Taxes</t>
  </si>
  <si>
    <t>Per Project Location</t>
  </si>
  <si>
    <t>ITEM DESCRIPTION</t>
  </si>
  <si>
    <t>Sub Name</t>
  </si>
  <si>
    <t>Model</t>
  </si>
  <si>
    <t>Wolff WK325</t>
  </si>
  <si>
    <t>Hook Radius in feet</t>
  </si>
  <si>
    <t>Hook Height in feet</t>
  </si>
  <si>
    <t>197 or 211</t>
  </si>
  <si>
    <t>Crane Location (Grids)</t>
  </si>
  <si>
    <t>Erection and Dismantel Cost</t>
  </si>
  <si>
    <t>Lease Rate per Month</t>
  </si>
  <si>
    <t>Total Lease Rate</t>
  </si>
  <si>
    <t>Maintenance Rate per Month</t>
  </si>
  <si>
    <t>Total Maintenance Rate</t>
  </si>
  <si>
    <t>Crane Base = poured concrete</t>
  </si>
  <si>
    <t>In Concrete</t>
  </si>
  <si>
    <t>Number of Piles</t>
  </si>
  <si>
    <t>Cost Per Pile</t>
  </si>
  <si>
    <t>Total Piling for the Crane Base</t>
  </si>
  <si>
    <t>Electrical Hook-up</t>
  </si>
  <si>
    <t>In Electrical</t>
  </si>
  <si>
    <t>Electrical Power Usage</t>
  </si>
  <si>
    <t>Total Electrical Power Usage</t>
  </si>
  <si>
    <t>Operator hrs/wk - Regular Rate</t>
  </si>
  <si>
    <t>Operator Rate</t>
  </si>
  <si>
    <t>Operator Total - Regular Rate</t>
  </si>
  <si>
    <t>Operator hrs/wk - Overtime</t>
  </si>
  <si>
    <t>Operator Total - Overtime</t>
  </si>
  <si>
    <t>Permits - Allowance</t>
  </si>
  <si>
    <t>TOTAL COST FOR THE TOWER CRANE</t>
  </si>
  <si>
    <t>Cost in the Estimate</t>
  </si>
  <si>
    <t>Difference</t>
  </si>
  <si>
    <t>Per Month Cost</t>
  </si>
  <si>
    <t>Man/Material Hoist - Single Car</t>
  </si>
  <si>
    <t>Man/Material Hoist - Double Car</t>
  </si>
  <si>
    <t>Hoist Duration</t>
  </si>
  <si>
    <t>Hoist Levels</t>
  </si>
  <si>
    <t>Levels</t>
  </si>
  <si>
    <t>Single Car</t>
  </si>
  <si>
    <t>Double Car</t>
  </si>
  <si>
    <t>Capacity</t>
  </si>
  <si>
    <t>6000#</t>
  </si>
  <si>
    <t>Car Size</t>
  </si>
  <si>
    <t>4'-8"x12'-4"x7'-6"</t>
  </si>
  <si>
    <t>4'-8"x12'-4"x7'-2"</t>
  </si>
  <si>
    <t>Speed</t>
  </si>
  <si>
    <t>150 ft/mn</t>
  </si>
  <si>
    <t>300 ft/mn</t>
  </si>
  <si>
    <t xml:space="preserve">Quarterly Inspections </t>
  </si>
  <si>
    <t>Quarterly Inspections Costs</t>
  </si>
  <si>
    <t>Total Quarterly Inspections</t>
  </si>
  <si>
    <t>Maintenance Costs/Month</t>
  </si>
  <si>
    <t>Maintenance Months</t>
  </si>
  <si>
    <t>Maintenance Costs</t>
  </si>
  <si>
    <t>Number of Landing Gates</t>
  </si>
  <si>
    <t>Monthly Rental</t>
  </si>
  <si>
    <t>Total Gates Costs</t>
  </si>
  <si>
    <t>Slab Extensions</t>
  </si>
  <si>
    <t>confirm</t>
  </si>
  <si>
    <t>Call System Rate</t>
  </si>
  <si>
    <t>Total Call System</t>
  </si>
  <si>
    <t>Hoist Base = poured concrete</t>
  </si>
  <si>
    <t>Included in Electrical</t>
  </si>
  <si>
    <t>Special Engineering for Reaction Forces</t>
  </si>
  <si>
    <t>TOTAL COST FOR THE MAN/MATERIAL HOIST</t>
  </si>
  <si>
    <t>https://www2.minneapolismn.gov/business-services/licenses-permits-inspections/streets-sidewalks-utility/city-lane-use-permits/lane-use-fee-changes/</t>
  </si>
  <si>
    <t>Street Closures</t>
  </si>
  <si>
    <t>North Street Name:</t>
  </si>
  <si>
    <t>South Street Name:</t>
  </si>
  <si>
    <t>North Street Duration:</t>
  </si>
  <si>
    <t>South Street Duration:</t>
  </si>
  <si>
    <t>Type</t>
  </si>
  <si>
    <t>Length/Each</t>
  </si>
  <si>
    <t>$/FT-EA/Day</t>
  </si>
  <si>
    <t>Moving Lane</t>
  </si>
  <si>
    <t>Parking</t>
  </si>
  <si>
    <t>Sidewalk</t>
  </si>
  <si>
    <t>Bike Lane</t>
  </si>
  <si>
    <t>Alley</t>
  </si>
  <si>
    <t>Parking Meters</t>
  </si>
  <si>
    <t>Parking Meters Remove and Install Pipe</t>
  </si>
  <si>
    <t>Subtotal North Street</t>
  </si>
  <si>
    <t>Subtotal South Street</t>
  </si>
  <si>
    <t>West Street Name:</t>
  </si>
  <si>
    <t>East Street Name:</t>
  </si>
  <si>
    <t>West Street Duration:</t>
  </si>
  <si>
    <t>East Street Duration:</t>
  </si>
  <si>
    <t>Subtotal West Street</t>
  </si>
  <si>
    <t>Subtotal East Street</t>
  </si>
  <si>
    <t>Grand Total</t>
  </si>
  <si>
    <t>Per Month- Based on the Total Project Duration</t>
  </si>
  <si>
    <t>Parking Meter Total</t>
  </si>
  <si>
    <t>Previous Estimate</t>
  </si>
  <si>
    <t>Impervious Area (SF)</t>
  </si>
  <si>
    <t>Rainfall (inches)</t>
  </si>
  <si>
    <t>Runoff Coefficient</t>
  </si>
  <si>
    <t>Conversion factor</t>
  </si>
  <si>
    <t>Storage Volume (Gallons)</t>
  </si>
  <si>
    <t>Cost Code</t>
  </si>
  <si>
    <t>Cost Type</t>
  </si>
  <si>
    <t>Manual Calculation</t>
  </si>
  <si>
    <t>Unit Qty</t>
  </si>
  <si>
    <t>UOM</t>
  </si>
  <si>
    <t>Unit Cost</t>
  </si>
  <si>
    <t>Budget Amount</t>
  </si>
  <si>
    <t>Start Date</t>
  </si>
  <si>
    <t>End Date</t>
  </si>
  <si>
    <t>Curve</t>
  </si>
  <si>
    <t>1-10000.000</t>
  </si>
  <si>
    <t>1-10001.000</t>
  </si>
  <si>
    <t>1-10130.000</t>
  </si>
  <si>
    <t>1-10160.000</t>
  </si>
  <si>
    <t>1-10180.000</t>
  </si>
  <si>
    <t>1-10210.000</t>
  </si>
  <si>
    <t>1-10230.000</t>
  </si>
  <si>
    <t>1-10250.000</t>
  </si>
  <si>
    <t>1-10260.000</t>
  </si>
  <si>
    <t>City Licenses/Misc Permits</t>
  </si>
  <si>
    <t>1-10310.000</t>
  </si>
  <si>
    <t>Labor</t>
  </si>
  <si>
    <t>1-10320.000</t>
  </si>
  <si>
    <t>1-10330.000</t>
  </si>
  <si>
    <t>1-10340.000</t>
  </si>
  <si>
    <t>1-10410.000</t>
  </si>
  <si>
    <t>1-10420.000</t>
  </si>
  <si>
    <t>1-10430.000</t>
  </si>
  <si>
    <t>1-10510.000</t>
  </si>
  <si>
    <t>1-10610.000</t>
  </si>
  <si>
    <t>Safety Consultant, Visit Bi-Weekly</t>
  </si>
  <si>
    <t>1-11000.000</t>
  </si>
  <si>
    <t>1-11200.000</t>
  </si>
  <si>
    <t>1-11400.000</t>
  </si>
  <si>
    <t>1-11600.000</t>
  </si>
  <si>
    <t>1-14010.000</t>
  </si>
  <si>
    <t>1-15110.000</t>
  </si>
  <si>
    <t>Temp Office and Set up</t>
  </si>
  <si>
    <t>1-15111.000</t>
  </si>
  <si>
    <t>1-15112.000</t>
  </si>
  <si>
    <t>1-15114.000</t>
  </si>
  <si>
    <t>1-15120.000</t>
  </si>
  <si>
    <t>1-15130.000</t>
  </si>
  <si>
    <t>1-15140.000</t>
  </si>
  <si>
    <t>1-15150.000</t>
  </si>
  <si>
    <t>1-15160.000</t>
  </si>
  <si>
    <t>1-15170.000</t>
  </si>
  <si>
    <t>1-15180.000</t>
  </si>
  <si>
    <t>1-15190.000</t>
  </si>
  <si>
    <t>1-16010.000</t>
  </si>
  <si>
    <t>1-16020.000</t>
  </si>
  <si>
    <t>1-17010.000</t>
  </si>
  <si>
    <t>2-23200.000</t>
  </si>
  <si>
    <t>2-24100.000</t>
  </si>
  <si>
    <t>Subcontract</t>
  </si>
  <si>
    <t>2-25100.000</t>
  </si>
  <si>
    <t>2-28213.000</t>
  </si>
  <si>
    <t>2-29005.000</t>
  </si>
  <si>
    <t>2-29010.000</t>
  </si>
  <si>
    <t>Progress Cleaning</t>
  </si>
  <si>
    <t>2-29015.000</t>
  </si>
  <si>
    <t>Safety</t>
  </si>
  <si>
    <t>2-29020.000</t>
  </si>
  <si>
    <t>2-29025.000</t>
  </si>
  <si>
    <t>2-29030.000</t>
  </si>
  <si>
    <t>2-29035.000</t>
  </si>
  <si>
    <t>2-29040.000</t>
  </si>
  <si>
    <t>2-29045.000</t>
  </si>
  <si>
    <t>2-29050.000</t>
  </si>
  <si>
    <t>2-29055.000</t>
  </si>
  <si>
    <t>2-29060.000</t>
  </si>
  <si>
    <t>2-29065.000</t>
  </si>
  <si>
    <t>Construction Permits</t>
  </si>
  <si>
    <t>2-29070.000</t>
  </si>
  <si>
    <t>2-29200.000</t>
  </si>
  <si>
    <t>2-29305.000</t>
  </si>
  <si>
    <t>2-29307.000</t>
  </si>
  <si>
    <t>2-29310.000</t>
  </si>
  <si>
    <t>2-29315.000</t>
  </si>
  <si>
    <t>2-29320.000</t>
  </si>
  <si>
    <t>2-29325.000</t>
  </si>
  <si>
    <t>2-29330.000</t>
  </si>
  <si>
    <t>2-29405.000</t>
  </si>
  <si>
    <t>2-29410.000</t>
  </si>
  <si>
    <t>2-29415.000</t>
  </si>
  <si>
    <t>2-29420.000</t>
  </si>
  <si>
    <t>2-29425.000</t>
  </si>
  <si>
    <t>2-29430.000</t>
  </si>
  <si>
    <t>2-29505.000</t>
  </si>
  <si>
    <t>Const Materials Testing</t>
  </si>
  <si>
    <t>2-29510.000</t>
  </si>
  <si>
    <t>2-29515.000</t>
  </si>
  <si>
    <t>2-29520.000</t>
  </si>
  <si>
    <t>2-29525.000</t>
  </si>
  <si>
    <t>2-29530.000</t>
  </si>
  <si>
    <t>3-30000.000</t>
  </si>
  <si>
    <t>Concrete</t>
  </si>
  <si>
    <t>3-33543.000</t>
  </si>
  <si>
    <t>3-34100.000</t>
  </si>
  <si>
    <t>3-34500.000</t>
  </si>
  <si>
    <t>3-35413.000</t>
  </si>
  <si>
    <t>Gypcrete</t>
  </si>
  <si>
    <t>4-40000.000</t>
  </si>
  <si>
    <t>5-51200.000</t>
  </si>
  <si>
    <t>Structural Steel</t>
  </si>
  <si>
    <t>5-55000.000</t>
  </si>
  <si>
    <t>5-57210.000</t>
  </si>
  <si>
    <t>Aluminum Deck and Railings</t>
  </si>
  <si>
    <t>6-61000.000</t>
  </si>
  <si>
    <t>Rough Carpentry Material</t>
  </si>
  <si>
    <t>6-61010.000</t>
  </si>
  <si>
    <t>6-61710.000</t>
  </si>
  <si>
    <t>6-61753.000</t>
  </si>
  <si>
    <t>Wood Trusses</t>
  </si>
  <si>
    <t>6-61800.000</t>
  </si>
  <si>
    <t>6-62000.000</t>
  </si>
  <si>
    <t>6-62200.000</t>
  </si>
  <si>
    <t>6-64100.000</t>
  </si>
  <si>
    <t>Architectural Casework &amp; Millwork</t>
  </si>
  <si>
    <t>6-66113.000</t>
  </si>
  <si>
    <t>Cultured Marble Fabrication</t>
  </si>
  <si>
    <t>6-66116.000</t>
  </si>
  <si>
    <t>Solid Surfacing and Ctops</t>
  </si>
  <si>
    <t>6-67300.000</t>
  </si>
  <si>
    <t>6-68316.000</t>
  </si>
  <si>
    <t>6-68700.000</t>
  </si>
  <si>
    <t>7-71000.000</t>
  </si>
  <si>
    <t>7-71413.000</t>
  </si>
  <si>
    <t>Hot Fluid Applied Waterproofing</t>
  </si>
  <si>
    <t>7-71800.000</t>
  </si>
  <si>
    <t>7-72100.000</t>
  </si>
  <si>
    <t>7-72400.000</t>
  </si>
  <si>
    <t>7-72500.000</t>
  </si>
  <si>
    <t>7-72700.000</t>
  </si>
  <si>
    <t>7-73113.000</t>
  </si>
  <si>
    <t>7-74213.000</t>
  </si>
  <si>
    <t>7-74600.000</t>
  </si>
  <si>
    <t>7-75000.000</t>
  </si>
  <si>
    <t>7-76100.000</t>
  </si>
  <si>
    <t>7-76200.000</t>
  </si>
  <si>
    <t>Sheet Metal Flashing and Trim</t>
  </si>
  <si>
    <t>7-77600.000</t>
  </si>
  <si>
    <t>7-78100.000</t>
  </si>
  <si>
    <t>Applied Fireproofing</t>
  </si>
  <si>
    <t>7-78400.000</t>
  </si>
  <si>
    <t>7-79200.000</t>
  </si>
  <si>
    <t>7-79500.000</t>
  </si>
  <si>
    <t>8-81000.000</t>
  </si>
  <si>
    <t>Doors, Frames, Hardware</t>
  </si>
  <si>
    <t>8-83000.000</t>
  </si>
  <si>
    <t>8-83113.000</t>
  </si>
  <si>
    <t>8-83613.000</t>
  </si>
  <si>
    <t>8-84000.000</t>
  </si>
  <si>
    <t>8-84400.000</t>
  </si>
  <si>
    <t>Curtain Wall</t>
  </si>
  <si>
    <t>8-85113.000</t>
  </si>
  <si>
    <t>8-85413.000</t>
  </si>
  <si>
    <t>8-86000.000</t>
  </si>
  <si>
    <t>8-88000.000</t>
  </si>
  <si>
    <t>8-88330.000</t>
  </si>
  <si>
    <t>8-88700.000</t>
  </si>
  <si>
    <t>8-89000.000</t>
  </si>
  <si>
    <t>9-92116.000</t>
  </si>
  <si>
    <t>9-92216.000</t>
  </si>
  <si>
    <t>9-93000.000</t>
  </si>
  <si>
    <t>9-95123.000</t>
  </si>
  <si>
    <t>Acoustical Tile Ceilings</t>
  </si>
  <si>
    <t>9-96400.000</t>
  </si>
  <si>
    <t>9-96500.000</t>
  </si>
  <si>
    <t>9-96600.000</t>
  </si>
  <si>
    <t>9-96800.000</t>
  </si>
  <si>
    <t>9-97200.000</t>
  </si>
  <si>
    <t>9-99000.000</t>
  </si>
  <si>
    <t>Painting and Coating</t>
  </si>
  <si>
    <t>9-99646.000</t>
  </si>
  <si>
    <t>9-99656.000</t>
  </si>
  <si>
    <t>10-100000.000</t>
  </si>
  <si>
    <t>10-101400.000</t>
  </si>
  <si>
    <t>10-101453.000</t>
  </si>
  <si>
    <t>10-102113.000</t>
  </si>
  <si>
    <t>Equipment</t>
  </si>
  <si>
    <t>10-102213.000</t>
  </si>
  <si>
    <t>10-102226.000</t>
  </si>
  <si>
    <t>10-102600.000</t>
  </si>
  <si>
    <t>10-102800.000</t>
  </si>
  <si>
    <t>10-102819.000</t>
  </si>
  <si>
    <t>10-103100.000</t>
  </si>
  <si>
    <t>10-103110.000</t>
  </si>
  <si>
    <t>10-104413.000</t>
  </si>
  <si>
    <t>10-105100.000</t>
  </si>
  <si>
    <t>10-105500.000</t>
  </si>
  <si>
    <t>10-105623.000</t>
  </si>
  <si>
    <t>10-107313.000</t>
  </si>
  <si>
    <t>10-107500.000</t>
  </si>
  <si>
    <t>10-109000.000</t>
  </si>
  <si>
    <t>11-111313.000</t>
  </si>
  <si>
    <t>Loading Dock Equipment</t>
  </si>
  <si>
    <t>11-112423.000</t>
  </si>
  <si>
    <t>11-113100.000</t>
  </si>
  <si>
    <t>11-113110.000</t>
  </si>
  <si>
    <t>11-114000.000</t>
  </si>
  <si>
    <t>11-116700.000</t>
  </si>
  <si>
    <t>11-118216.000</t>
  </si>
  <si>
    <t>12-122000.000</t>
  </si>
  <si>
    <t>12-123530.000</t>
  </si>
  <si>
    <t>Residential Casework</t>
  </si>
  <si>
    <t>12-123640.000</t>
  </si>
  <si>
    <t>12-123663.000</t>
  </si>
  <si>
    <t>12-124000.000</t>
  </si>
  <si>
    <t>12-124813.000</t>
  </si>
  <si>
    <t>12-129313.000</t>
  </si>
  <si>
    <t>13-131100.000</t>
  </si>
  <si>
    <t>Swimming Pools and Spas</t>
  </si>
  <si>
    <t>13-131900.000</t>
  </si>
  <si>
    <t>13-132416.000</t>
  </si>
  <si>
    <t>13-133418.000</t>
  </si>
  <si>
    <t>14-140000.000</t>
  </si>
  <si>
    <t>14-142000.000</t>
  </si>
  <si>
    <t>14-144200.000</t>
  </si>
  <si>
    <t>14-149182.000</t>
  </si>
  <si>
    <t>Trash Chutes</t>
  </si>
  <si>
    <t>21-210000.000</t>
  </si>
  <si>
    <t>Fire Suppression</t>
  </si>
  <si>
    <t>22-220000.000</t>
  </si>
  <si>
    <t>23-230000.000</t>
  </si>
  <si>
    <t>HVAC</t>
  </si>
  <si>
    <t>26-260000.000</t>
  </si>
  <si>
    <t>27-272000.000</t>
  </si>
  <si>
    <t>27-274000.000</t>
  </si>
  <si>
    <t>Audio Video Communications</t>
  </si>
  <si>
    <t>28-281300.000</t>
  </si>
  <si>
    <t>28-283000.000</t>
  </si>
  <si>
    <t>28-284600.000</t>
  </si>
  <si>
    <t>Fire Detection and Alarm</t>
  </si>
  <si>
    <t>28-289010.000</t>
  </si>
  <si>
    <t>31-310000.000</t>
  </si>
  <si>
    <t>31-312113.000</t>
  </si>
  <si>
    <t>31-312500.000</t>
  </si>
  <si>
    <t>31-314000.000</t>
  </si>
  <si>
    <t>31-316000.000</t>
  </si>
  <si>
    <t>Piles, Piers and Caissons</t>
  </si>
  <si>
    <t>32-321216.000</t>
  </si>
  <si>
    <t>32-321313.000</t>
  </si>
  <si>
    <t>32-321316.000</t>
  </si>
  <si>
    <t>32-321343.000</t>
  </si>
  <si>
    <t>32-321400.000</t>
  </si>
  <si>
    <t>32-321613.000</t>
  </si>
  <si>
    <t>32-321700.000</t>
  </si>
  <si>
    <t>32-321813.000</t>
  </si>
  <si>
    <t>32-323100.000</t>
  </si>
  <si>
    <t>32-323200.000</t>
  </si>
  <si>
    <t>32-329000.000</t>
  </si>
  <si>
    <t>Landscaping and Irrigation</t>
  </si>
  <si>
    <t>33-330000.000</t>
  </si>
  <si>
    <t>50-502000.000</t>
  </si>
  <si>
    <t>60-601000.000</t>
  </si>
  <si>
    <t>60-601005.000</t>
  </si>
  <si>
    <t>60-602010.000</t>
  </si>
  <si>
    <t>60-602015.000</t>
  </si>
  <si>
    <t>60-602020.000</t>
  </si>
  <si>
    <t>60-602025.000</t>
  </si>
  <si>
    <t>60-604000.000</t>
  </si>
  <si>
    <t>80-800001.000</t>
  </si>
  <si>
    <t>Miscellaneous 1</t>
  </si>
  <si>
    <t>Cost Code Description</t>
  </si>
  <si>
    <t>Cost Type Description</t>
  </si>
  <si>
    <t>BLI UOM</t>
  </si>
  <si>
    <t>BPQ UOM</t>
  </si>
  <si>
    <t>BOOLEAN</t>
  </si>
  <si>
    <t>days</t>
  </si>
  <si>
    <t>True</t>
  </si>
  <si>
    <t>hours</t>
  </si>
  <si>
    <t>False</t>
  </si>
  <si>
    <t>months</t>
  </si>
  <si>
    <t>Other</t>
  </si>
  <si>
    <t>weeks</t>
  </si>
  <si>
    <t>m</t>
  </si>
  <si>
    <t>years</t>
  </si>
  <si>
    <t>mm</t>
  </si>
  <si>
    <t>User Def Type 6</t>
  </si>
  <si>
    <t>m²</t>
  </si>
  <si>
    <t>User Def Type 7</t>
  </si>
  <si>
    <t>User Def Type 8</t>
  </si>
  <si>
    <t>User Def Type 9</t>
  </si>
  <si>
    <t>m³</t>
  </si>
  <si>
    <t>kg</t>
  </si>
  <si>
    <t>lbs</t>
  </si>
  <si>
    <t>t</t>
  </si>
  <si>
    <t>ton</t>
  </si>
  <si>
    <t>1-10440.000</t>
  </si>
  <si>
    <t>General Labor</t>
  </si>
  <si>
    <t>2-20000.000</t>
  </si>
  <si>
    <t>2-29406.000</t>
  </si>
  <si>
    <t>6-66119.000</t>
  </si>
  <si>
    <t>Quartz Surface</t>
  </si>
  <si>
    <t>8-87000.000</t>
  </si>
  <si>
    <t>Hardware</t>
  </si>
  <si>
    <t>11-110000.000</t>
  </si>
  <si>
    <t>60-605000.000</t>
  </si>
  <si>
    <t>Miscellaneous</t>
  </si>
  <si>
    <t>01-0000.001</t>
  </si>
  <si>
    <t>01-0400.002</t>
  </si>
  <si>
    <t>02-0000.001</t>
  </si>
  <si>
    <t>02-4100.002</t>
  </si>
  <si>
    <t>02-9005.003</t>
  </si>
  <si>
    <t>02-9300.006</t>
  </si>
  <si>
    <t>02-9070.004</t>
  </si>
  <si>
    <t>02-9200.005</t>
  </si>
  <si>
    <t>02-9400.007</t>
  </si>
  <si>
    <t>02-9500.008</t>
  </si>
  <si>
    <t>03-0000.009</t>
  </si>
  <si>
    <t>03-0000.001</t>
  </si>
  <si>
    <t>03-0000.002</t>
  </si>
  <si>
    <t>03-0000.003</t>
  </si>
  <si>
    <t>03-0000.004</t>
  </si>
  <si>
    <t>03-0000.005</t>
  </si>
  <si>
    <t>03-0000.006</t>
  </si>
  <si>
    <t>03-0000.007</t>
  </si>
  <si>
    <t>03-0000.008</t>
  </si>
  <si>
    <t>03-0000.010</t>
  </si>
  <si>
    <t>03-0000.011</t>
  </si>
  <si>
    <t>03-0000.012</t>
  </si>
  <si>
    <t>04-0000.001</t>
  </si>
  <si>
    <t>04-0000.002</t>
  </si>
  <si>
    <t>04-0000.003</t>
  </si>
  <si>
    <t>04-0000.004</t>
  </si>
  <si>
    <t>04-0000.005</t>
  </si>
  <si>
    <t>04-0000.006</t>
  </si>
  <si>
    <t>04-0000.007</t>
  </si>
  <si>
    <t>05-1200.001</t>
  </si>
  <si>
    <t>05-7210.003</t>
  </si>
  <si>
    <t>05-7210.004</t>
  </si>
  <si>
    <t>05-7210.005</t>
  </si>
  <si>
    <t>06-1000.001</t>
  </si>
  <si>
    <t>03-3543.001</t>
  </si>
  <si>
    <t>03-4100.001</t>
  </si>
  <si>
    <t>03-4500.0002</t>
  </si>
  <si>
    <t>03-5413.001</t>
  </si>
  <si>
    <t>03-5413.002</t>
  </si>
  <si>
    <t>05-5000.001</t>
  </si>
  <si>
    <t>05-7210.001</t>
  </si>
  <si>
    <t>05-7210.002</t>
  </si>
  <si>
    <t>06-1010.001</t>
  </si>
  <si>
    <t>06-1710.001</t>
  </si>
  <si>
    <t>06-1753.001</t>
  </si>
  <si>
    <t>06-1800.001</t>
  </si>
  <si>
    <t>06-2000.001</t>
  </si>
  <si>
    <t>06-2000.002</t>
  </si>
  <si>
    <t>06-2200.003</t>
  </si>
  <si>
    <t>06-4100.001</t>
  </si>
  <si>
    <t>06-6113.001</t>
  </si>
  <si>
    <t>06-6116.001</t>
  </si>
  <si>
    <t>06-8316.001</t>
  </si>
  <si>
    <t>06-7300.001</t>
  </si>
  <si>
    <t>06-8700.001</t>
  </si>
  <si>
    <t>07-1000.001</t>
  </si>
  <si>
    <t>07-1000.002</t>
  </si>
  <si>
    <t>07-1413.001</t>
  </si>
  <si>
    <t>07-1413.002</t>
  </si>
  <si>
    <t>07-1413.003</t>
  </si>
  <si>
    <t>07-1413.004</t>
  </si>
  <si>
    <t>07-1413.005</t>
  </si>
  <si>
    <t>07-1800.001</t>
  </si>
  <si>
    <t>07-2100.001</t>
  </si>
  <si>
    <t>07-2400.001</t>
  </si>
  <si>
    <t>07-2500.001</t>
  </si>
  <si>
    <t>07-2700.001</t>
  </si>
  <si>
    <t>07-3113.001</t>
  </si>
  <si>
    <t>07-3113.002</t>
  </si>
  <si>
    <t>07-4213.001</t>
  </si>
  <si>
    <t>07-4600.001</t>
  </si>
  <si>
    <t>07-5000.001</t>
  </si>
  <si>
    <t>07-6100.01</t>
  </si>
  <si>
    <t>07-6200.002</t>
  </si>
  <si>
    <t>07-7600.003</t>
  </si>
  <si>
    <t>07-8100.001</t>
  </si>
  <si>
    <t>07-8400.002</t>
  </si>
  <si>
    <t>07-9200.003</t>
  </si>
  <si>
    <t>07-9500.004</t>
  </si>
  <si>
    <t>08-1000.001</t>
  </si>
  <si>
    <t>08-3113.001</t>
  </si>
  <si>
    <t>08-3000.001</t>
  </si>
  <si>
    <t>08-3613.001</t>
  </si>
  <si>
    <t>08-4000.001</t>
  </si>
  <si>
    <t>08-4000.002</t>
  </si>
  <si>
    <t>08-4400.003</t>
  </si>
  <si>
    <t>08-5113.001</t>
  </si>
  <si>
    <t>08-5413.001</t>
  </si>
  <si>
    <t>08-5413.002</t>
  </si>
  <si>
    <t>08-6000.001</t>
  </si>
  <si>
    <t>08-8000.002</t>
  </si>
  <si>
    <t>08-8330.003</t>
  </si>
  <si>
    <t>08-8330.004</t>
  </si>
  <si>
    <t>08-8700.001</t>
  </si>
  <si>
    <t>08-9000.001</t>
  </si>
  <si>
    <t>09-2116.001</t>
  </si>
  <si>
    <t>09-2216.002</t>
  </si>
  <si>
    <t>09-3000.001</t>
  </si>
  <si>
    <t>09-5123.001</t>
  </si>
  <si>
    <t>09-6400.001</t>
  </si>
  <si>
    <t>09-6500.001</t>
  </si>
  <si>
    <t>09-6600.001</t>
  </si>
  <si>
    <t>09-6800.001</t>
  </si>
  <si>
    <t>09-7200.001</t>
  </si>
  <si>
    <t>09-9000.001</t>
  </si>
  <si>
    <t>09-9646.001</t>
  </si>
  <si>
    <t>09-9656.001</t>
  </si>
  <si>
    <t>10-0000.001</t>
  </si>
  <si>
    <t>10-1400.001</t>
  </si>
  <si>
    <t>10-1400.002</t>
  </si>
  <si>
    <t>10-1400.003</t>
  </si>
  <si>
    <t>10-1453.001</t>
  </si>
  <si>
    <t>10-2113.001</t>
  </si>
  <si>
    <t>10-2213.002</t>
  </si>
  <si>
    <t>10-2226.001</t>
  </si>
  <si>
    <t>10-2600.001</t>
  </si>
  <si>
    <t>10-2800.001</t>
  </si>
  <si>
    <t>10-2819.001</t>
  </si>
  <si>
    <t>10-3100.001</t>
  </si>
  <si>
    <t>10-3110.002</t>
  </si>
  <si>
    <t>10-4413.001</t>
  </si>
  <si>
    <t>10-5100.001</t>
  </si>
  <si>
    <t>10-5500.001</t>
  </si>
  <si>
    <t>10-5500.002</t>
  </si>
  <si>
    <t>10-5623.001</t>
  </si>
  <si>
    <t>10-7313.001</t>
  </si>
  <si>
    <t>10-7500.001</t>
  </si>
  <si>
    <t>10-9000.001</t>
  </si>
  <si>
    <t>11-1313.001</t>
  </si>
  <si>
    <t>11-2423.001</t>
  </si>
  <si>
    <t>11-3100.001</t>
  </si>
  <si>
    <t>11-3110.001</t>
  </si>
  <si>
    <t>11-4000.001</t>
  </si>
  <si>
    <t>11-6700.001</t>
  </si>
  <si>
    <t>11-8216.001</t>
  </si>
  <si>
    <t>12-2000.001</t>
  </si>
  <si>
    <t>12-3530.001</t>
  </si>
  <si>
    <t>12-3530.002</t>
  </si>
  <si>
    <t>12-3570.001</t>
  </si>
  <si>
    <t>12-3640.001</t>
  </si>
  <si>
    <t>12-3663.001</t>
  </si>
  <si>
    <t>12-4000.001</t>
  </si>
  <si>
    <t>12-4813.001</t>
  </si>
  <si>
    <t>12-9313.001</t>
  </si>
  <si>
    <t>13-1100.001</t>
  </si>
  <si>
    <t>13-1100.002</t>
  </si>
  <si>
    <t>13-1900.001</t>
  </si>
  <si>
    <t>13-2416.001</t>
  </si>
  <si>
    <t>13-3418.001</t>
  </si>
  <si>
    <t>14-0000.001</t>
  </si>
  <si>
    <t>14-2000.001</t>
  </si>
  <si>
    <t>14-4200.001</t>
  </si>
  <si>
    <t>14-9182.001</t>
  </si>
  <si>
    <t>21-0000.001</t>
  </si>
  <si>
    <t>21-0000.002</t>
  </si>
  <si>
    <t>22-0000.001</t>
  </si>
  <si>
    <t>22-0000.002</t>
  </si>
  <si>
    <t>22-0000.003</t>
  </si>
  <si>
    <t>22-4129.001</t>
  </si>
  <si>
    <t>23-0000.001</t>
  </si>
  <si>
    <t>26-0000.001</t>
  </si>
  <si>
    <t>26-0000.002</t>
  </si>
  <si>
    <t>26-0000.003</t>
  </si>
  <si>
    <t>26-0000.004</t>
  </si>
  <si>
    <t>26-0000.005</t>
  </si>
  <si>
    <t>27-2000.001</t>
  </si>
  <si>
    <t>27-4000.001</t>
  </si>
  <si>
    <t>28-1300.001</t>
  </si>
  <si>
    <t>28-3000.001</t>
  </si>
  <si>
    <t>28-4600.001</t>
  </si>
  <si>
    <t>28-9010.001</t>
  </si>
  <si>
    <t>31-0000.001</t>
  </si>
  <si>
    <t>31-2113.001</t>
  </si>
  <si>
    <t>31-2500.001</t>
  </si>
  <si>
    <t>31-4000.001</t>
  </si>
  <si>
    <t>31-6000.001</t>
  </si>
  <si>
    <t>32-1216.001</t>
  </si>
  <si>
    <t>32-1216.002</t>
  </si>
  <si>
    <t>32-1216.003</t>
  </si>
  <si>
    <t>32-1313.000</t>
  </si>
  <si>
    <t>32-1316.001</t>
  </si>
  <si>
    <t>32-1343.001</t>
  </si>
  <si>
    <t>32-1400.001</t>
  </si>
  <si>
    <t>32-1613.001</t>
  </si>
  <si>
    <t>32-1313.001</t>
  </si>
  <si>
    <t>32-1313.002</t>
  </si>
  <si>
    <t>32-1313.003</t>
  </si>
  <si>
    <t>32-1313.004</t>
  </si>
  <si>
    <t>32-1313.005</t>
  </si>
  <si>
    <t>32-1700.001</t>
  </si>
  <si>
    <t>32-1813.001</t>
  </si>
  <si>
    <t>32-3100.001</t>
  </si>
  <si>
    <t>32-3200.001</t>
  </si>
  <si>
    <t>32-9000.001</t>
  </si>
  <si>
    <t>33-0000.001</t>
  </si>
  <si>
    <t>33-0000.002</t>
  </si>
  <si>
    <t>33-0000.003</t>
  </si>
  <si>
    <t>33-0000.004</t>
  </si>
  <si>
    <t>33-0000.005</t>
  </si>
  <si>
    <t>33-0000.006</t>
  </si>
  <si>
    <t>33-0000.007</t>
  </si>
  <si>
    <t>33-0000.008</t>
  </si>
  <si>
    <t>33-0000.009</t>
  </si>
  <si>
    <t>33-0000.010</t>
  </si>
  <si>
    <t>50-2000.001</t>
  </si>
  <si>
    <t>50-2000.002</t>
  </si>
  <si>
    <t>50-2000.003</t>
  </si>
  <si>
    <t>50-2000.004</t>
  </si>
  <si>
    <t>50-2000.005</t>
  </si>
  <si>
    <t>50-2000.006</t>
  </si>
  <si>
    <t>50-2000.007</t>
  </si>
  <si>
    <t>50-2000.008</t>
  </si>
  <si>
    <t>80-8001.001</t>
  </si>
  <si>
    <t>80-8002.002</t>
  </si>
  <si>
    <t>80-8003.003</t>
  </si>
  <si>
    <t>80-8004.004</t>
  </si>
  <si>
    <t>80-8005.005</t>
  </si>
  <si>
    <t>80-8006.006</t>
  </si>
  <si>
    <t>01-0230.001</t>
  </si>
  <si>
    <t>01-0250.001</t>
  </si>
  <si>
    <t>01-0260.001</t>
  </si>
  <si>
    <t>60-1000.001</t>
  </si>
  <si>
    <t>60-1005.001</t>
  </si>
  <si>
    <t>60-2010.001</t>
  </si>
  <si>
    <t>60-2015.001</t>
  </si>
  <si>
    <t>60-2020.001</t>
  </si>
  <si>
    <t>60-2025.001</t>
  </si>
  <si>
    <t>60-4000.001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</si>
</sst>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7" formatCode="&quot;$&quot;#,##0.000_);\(&quot;$&quot;#,##0.000\)"/>
    <numFmt numFmtId="168" formatCode="#,##0.000"/>
    <numFmt numFmtId="169" formatCode="#,##0\ &quot;SF&quot;"/>
    <numFmt numFmtId="170" formatCode="#,##0\ &quot;sf&quot;"/>
    <numFmt numFmtId="171" formatCode="#,##0.00\ &quot;mo&quot;"/>
    <numFmt numFmtId="172" formatCode="0.000%"/>
    <numFmt numFmtId="173" formatCode="_(&quot;$&quot;* #,##0_);_(&quot;$&quot;* \(#,##0\);_(&quot;$&quot;* &quot;-&quot;??_);_(@_)"/>
    <numFmt numFmtId="174" formatCode="0.0"/>
    <numFmt numFmtId="175" formatCode="#,##0\ &quot;miles&quot;"/>
    <numFmt numFmtId="176" formatCode="_(* #,##0_);_(* \(#,##0\);_(* &quot;-&quot;??_);_(@_)"/>
    <numFmt numFmtId="177" formatCode="#,##0\ &quot;units&quot;"/>
    <numFmt numFmtId="178" formatCode="[$-F800]dddd\,\ mmmm\ dd\,\ yyyy"/>
  </numFmts>
  <fonts count="39">
    <font>
      <sz val="10"/>
      <color theme="1"/>
      <name val="Century Gothic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b/>
      <sz val="11"/>
      <color theme="0"/>
      <name val="Century Gothic"/>
      <family val="2"/>
    </font>
    <font>
      <b/>
      <sz val="11"/>
      <color theme="1"/>
      <name val="Century Gothic"/>
      <family val="2"/>
    </font>
    <font>
      <b/>
      <sz val="12"/>
      <color theme="0"/>
      <name val="Century Gothic"/>
      <family val="2"/>
    </font>
    <font>
      <b/>
      <sz val="12"/>
      <color theme="1"/>
      <name val="Century Gothic"/>
      <family val="2"/>
    </font>
    <font>
      <b/>
      <sz val="14"/>
      <color theme="0"/>
      <name val="Century Gothic"/>
      <family val="2"/>
    </font>
    <font>
      <b/>
      <sz val="14"/>
      <color theme="1"/>
      <name val="Century Gothic"/>
      <family val="2"/>
    </font>
    <font>
      <sz val="11"/>
      <color theme="1"/>
      <name val="Century Gothic"/>
      <family val="2"/>
    </font>
    <font>
      <sz val="11"/>
      <name val="Arial"/>
      <family val="1"/>
    </font>
    <font>
      <sz val="14"/>
      <color theme="0"/>
      <name val="Century Gothic"/>
      <family val="2"/>
    </font>
    <font>
      <sz val="12"/>
      <color theme="0"/>
      <name val="Century Gothic"/>
      <family val="2"/>
    </font>
    <font>
      <sz val="12"/>
      <color theme="1"/>
      <name val="Century Gothic"/>
      <family val="2"/>
    </font>
    <font>
      <b/>
      <sz val="13"/>
      <name val="Century Gothic"/>
      <family val="2"/>
    </font>
    <font>
      <sz val="13"/>
      <color theme="1"/>
      <name val="Century Gothic"/>
      <family val="2"/>
    </font>
    <font>
      <sz val="10"/>
      <name val="Century Gothic"/>
      <family val="2"/>
    </font>
    <font>
      <b/>
      <sz val="13"/>
      <color theme="0"/>
      <name val="Century Gothic"/>
      <family val="2"/>
    </font>
    <font>
      <sz val="8"/>
      <name val="Century Gothic"/>
      <family val="2"/>
    </font>
    <font>
      <sz val="9"/>
      <name val="Century Gothic"/>
      <family val="2"/>
    </font>
    <font>
      <sz val="10"/>
      <name val="Arial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b/>
      <sz val="14"/>
      <color theme="5" tint="0.39997558519241921"/>
      <name val="Century Gothic"/>
      <family val="2"/>
    </font>
    <font>
      <b/>
      <sz val="10"/>
      <color theme="0"/>
      <name val="Century Gothic"/>
      <family val="2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0"/>
      <color theme="10"/>
      <name val="Century Gothic"/>
      <family val="2"/>
    </font>
    <font>
      <b/>
      <sz val="24"/>
      <name val="Century Gothic"/>
      <family val="2"/>
    </font>
    <font>
      <b/>
      <sz val="16"/>
      <name val="Century Gothic"/>
      <family val="2"/>
    </font>
    <font>
      <b/>
      <sz val="11"/>
      <color rgb="FFFA7D00"/>
      <name val="Aptos Narrow"/>
      <family val="2"/>
      <scheme val="minor"/>
    </font>
    <font>
      <b/>
      <sz val="10"/>
      <name val="Geneva"/>
    </font>
    <font>
      <sz val="10"/>
      <name val="Geneva"/>
    </font>
    <font>
      <b/>
      <sz val="13"/>
      <color rgb="FF3057A6"/>
      <name val="Century Gothic"/>
      <family val="2"/>
    </font>
    <font>
      <sz val="10"/>
      <color theme="0" tint="-0.34998626667073579"/>
      <name val="Century Gothic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3057A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1"/>
        <bgColor indexed="64"/>
      </patternFill>
    </fill>
  </fills>
  <borders count="10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5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3" fillId="0" borderId="0"/>
    <xf numFmtId="0" fontId="23" fillId="0" borderId="0"/>
    <xf numFmtId="44" fontId="26" fillId="0" borderId="0" applyFont="0" applyFill="0" applyBorder="0" applyAlignment="0" applyProtection="0"/>
    <xf numFmtId="0" fontId="26" fillId="0" borderId="0"/>
    <xf numFmtId="9" fontId="5" fillId="5" borderId="1">
      <alignment horizontal="center"/>
      <protection locked="0"/>
    </xf>
    <xf numFmtId="0" fontId="3" fillId="0" borderId="0"/>
    <xf numFmtId="0" fontId="2" fillId="0" borderId="0"/>
    <xf numFmtId="0" fontId="1" fillId="0" borderId="0"/>
    <xf numFmtId="44" fontId="1" fillId="0" borderId="0" applyFont="0" applyFill="0" applyBorder="0" applyAlignment="0" applyProtection="0"/>
    <xf numFmtId="0" fontId="31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34" fillId="12" borderId="97" applyNumberFormat="0" applyAlignment="0" applyProtection="0"/>
  </cellStyleXfs>
  <cellXfs count="507">
    <xf numFmtId="0" fontId="0" fillId="0" borderId="0" xfId="0"/>
    <xf numFmtId="0" fontId="0" fillId="0" borderId="5" xfId="0" applyBorder="1"/>
    <xf numFmtId="0" fontId="5" fillId="0" borderId="0" xfId="0" applyFont="1"/>
    <xf numFmtId="0" fontId="12" fillId="0" borderId="0" xfId="0" applyFont="1"/>
    <xf numFmtId="0" fontId="13" fillId="0" borderId="0" xfId="3"/>
    <xf numFmtId="49" fontId="13" fillId="0" borderId="0" xfId="3" applyNumberFormat="1"/>
    <xf numFmtId="0" fontId="0" fillId="0" borderId="1" xfId="0" applyBorder="1" applyAlignment="1">
      <alignment horizontal="center"/>
    </xf>
    <xf numFmtId="0" fontId="0" fillId="0" borderId="0" xfId="0" applyProtection="1">
      <protection locked="0"/>
    </xf>
    <xf numFmtId="0" fontId="0" fillId="0" borderId="6" xfId="0" applyBorder="1" applyProtection="1">
      <protection locked="0"/>
    </xf>
    <xf numFmtId="0" fontId="0" fillId="0" borderId="32" xfId="0" applyBorder="1" applyProtection="1">
      <protection locked="0"/>
    </xf>
    <xf numFmtId="0" fontId="0" fillId="0" borderId="35" xfId="0" applyBorder="1" applyProtection="1">
      <protection locked="0"/>
    </xf>
    <xf numFmtId="0" fontId="0" fillId="0" borderId="23" xfId="0" applyBorder="1" applyProtection="1">
      <protection locked="0"/>
    </xf>
    <xf numFmtId="0" fontId="0" fillId="0" borderId="24" xfId="0" applyBorder="1" applyProtection="1">
      <protection locked="0"/>
    </xf>
    <xf numFmtId="0" fontId="0" fillId="0" borderId="25" xfId="0" applyBorder="1" applyProtection="1">
      <protection locked="0"/>
    </xf>
    <xf numFmtId="0" fontId="5" fillId="0" borderId="30" xfId="0" applyFont="1" applyBorder="1" applyProtection="1">
      <protection locked="0"/>
    </xf>
    <xf numFmtId="0" fontId="5" fillId="0" borderId="4" xfId="0" applyFont="1" applyBorder="1" applyProtection="1">
      <protection locked="0"/>
    </xf>
    <xf numFmtId="0" fontId="5" fillId="0" borderId="28" xfId="0" applyFont="1" applyBorder="1" applyProtection="1">
      <protection locked="0"/>
    </xf>
    <xf numFmtId="0" fontId="0" fillId="0" borderId="21" xfId="0" applyBorder="1" applyAlignment="1" applyProtection="1">
      <alignment horizontal="left"/>
      <protection locked="0"/>
    </xf>
    <xf numFmtId="0" fontId="5" fillId="0" borderId="17" xfId="0" applyFont="1" applyBorder="1" applyProtection="1">
      <protection locked="0"/>
    </xf>
    <xf numFmtId="0" fontId="0" fillId="0" borderId="12" xfId="0" applyBorder="1" applyAlignment="1" applyProtection="1">
      <alignment horizontal="left"/>
      <protection locked="0"/>
    </xf>
    <xf numFmtId="0" fontId="5" fillId="0" borderId="0" xfId="0" applyFont="1" applyProtection="1">
      <protection locked="0"/>
    </xf>
    <xf numFmtId="0" fontId="0" fillId="0" borderId="31" xfId="0" applyBorder="1" applyProtection="1">
      <protection locked="0"/>
    </xf>
    <xf numFmtId="0" fontId="5" fillId="0" borderId="16" xfId="0" applyFont="1" applyBorder="1" applyProtection="1">
      <protection locked="0"/>
    </xf>
    <xf numFmtId="0" fontId="0" fillId="0" borderId="5" xfId="0" applyBorder="1" applyProtection="1">
      <protection locked="0"/>
    </xf>
    <xf numFmtId="0" fontId="0" fillId="0" borderId="12" xfId="0" applyBorder="1" applyProtection="1">
      <protection locked="0"/>
    </xf>
    <xf numFmtId="10" fontId="0" fillId="0" borderId="0" xfId="2" applyNumberFormat="1" applyFont="1" applyBorder="1" applyProtection="1">
      <protection locked="0"/>
    </xf>
    <xf numFmtId="0" fontId="5" fillId="0" borderId="34" xfId="0" applyFont="1" applyBorder="1" applyProtection="1">
      <protection locked="0"/>
    </xf>
    <xf numFmtId="7" fontId="0" fillId="0" borderId="36" xfId="0" applyNumberFormat="1" applyBorder="1" applyProtection="1">
      <protection locked="0"/>
    </xf>
    <xf numFmtId="0" fontId="0" fillId="0" borderId="30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41" xfId="0" applyBorder="1" applyProtection="1">
      <protection locked="0"/>
    </xf>
    <xf numFmtId="0" fontId="0" fillId="0" borderId="43" xfId="0" applyBorder="1" applyProtection="1">
      <protection locked="0"/>
    </xf>
    <xf numFmtId="0" fontId="5" fillId="0" borderId="44" xfId="0" applyFont="1" applyBorder="1" applyProtection="1">
      <protection locked="0"/>
    </xf>
    <xf numFmtId="0" fontId="0" fillId="0" borderId="45" xfId="0" applyBorder="1" applyProtection="1">
      <protection locked="0"/>
    </xf>
    <xf numFmtId="0" fontId="5" fillId="0" borderId="47" xfId="0" applyFont="1" applyBorder="1" applyProtection="1">
      <protection locked="0"/>
    </xf>
    <xf numFmtId="0" fontId="0" fillId="0" borderId="48" xfId="0" applyBorder="1" applyProtection="1">
      <protection locked="0"/>
    </xf>
    <xf numFmtId="0" fontId="5" fillId="0" borderId="14" xfId="0" applyFont="1" applyBorder="1" applyProtection="1">
      <protection locked="0"/>
    </xf>
    <xf numFmtId="0" fontId="0" fillId="0" borderId="35" xfId="0" applyBorder="1" applyAlignment="1" applyProtection="1">
      <alignment horizontal="center"/>
      <protection locked="0"/>
    </xf>
    <xf numFmtId="0" fontId="0" fillId="0" borderId="26" xfId="0" applyBorder="1" applyProtection="1">
      <protection locked="0"/>
    </xf>
    <xf numFmtId="0" fontId="0" fillId="0" borderId="33" xfId="0" applyBorder="1" applyProtection="1">
      <protection locked="0"/>
    </xf>
    <xf numFmtId="0" fontId="0" fillId="0" borderId="27" xfId="0" applyBorder="1" applyProtection="1">
      <protection locked="0"/>
    </xf>
    <xf numFmtId="7" fontId="0" fillId="0" borderId="0" xfId="0" applyNumberFormat="1" applyProtection="1">
      <protection locked="0"/>
    </xf>
    <xf numFmtId="10" fontId="0" fillId="0" borderId="0" xfId="2" applyNumberFormat="1" applyFont="1" applyProtection="1">
      <protection locked="0"/>
    </xf>
    <xf numFmtId="0" fontId="7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7" fillId="0" borderId="0" xfId="0" applyFont="1" applyAlignment="1" applyProtection="1">
      <alignment horizontal="right"/>
      <protection locked="0"/>
    </xf>
    <xf numFmtId="14" fontId="12" fillId="0" borderId="0" xfId="0" applyNumberFormat="1" applyFont="1" applyAlignment="1" applyProtection="1">
      <alignment horizontal="right"/>
      <protection locked="0"/>
    </xf>
    <xf numFmtId="0" fontId="7" fillId="0" borderId="32" xfId="0" applyFont="1" applyBorder="1" applyProtection="1">
      <protection locked="0"/>
    </xf>
    <xf numFmtId="0" fontId="12" fillId="0" borderId="32" xfId="0" applyFont="1" applyBorder="1" applyProtection="1">
      <protection locked="0"/>
    </xf>
    <xf numFmtId="14" fontId="12" fillId="0" borderId="32" xfId="0" applyNumberFormat="1" applyFont="1" applyBorder="1" applyProtection="1">
      <protection locked="0"/>
    </xf>
    <xf numFmtId="14" fontId="12" fillId="0" borderId="0" xfId="0" applyNumberFormat="1" applyFont="1" applyProtection="1">
      <protection locked="0"/>
    </xf>
    <xf numFmtId="171" fontId="12" fillId="0" borderId="0" xfId="0" applyNumberFormat="1" applyFont="1" applyProtection="1">
      <protection locked="0"/>
    </xf>
    <xf numFmtId="0" fontId="18" fillId="0" borderId="25" xfId="0" applyFont="1" applyBorder="1" applyProtection="1">
      <protection locked="0"/>
    </xf>
    <xf numFmtId="0" fontId="0" fillId="0" borderId="19" xfId="0" applyBorder="1" applyAlignment="1" applyProtection="1">
      <alignment horizontal="center"/>
      <protection locked="0"/>
    </xf>
    <xf numFmtId="0" fontId="0" fillId="0" borderId="61" xfId="0" applyBorder="1" applyProtection="1">
      <protection locked="0"/>
    </xf>
    <xf numFmtId="9" fontId="5" fillId="0" borderId="1" xfId="2" applyFont="1" applyBorder="1" applyAlignment="1" applyProtection="1">
      <alignment horizontal="center"/>
      <protection locked="0"/>
    </xf>
    <xf numFmtId="0" fontId="0" fillId="0" borderId="61" xfId="0" applyBorder="1" applyAlignment="1" applyProtection="1">
      <alignment horizontal="center"/>
      <protection locked="0"/>
    </xf>
    <xf numFmtId="7" fontId="0" fillId="0" borderId="61" xfId="0" applyNumberFormat="1" applyBorder="1" applyAlignment="1" applyProtection="1">
      <alignment horizontal="center"/>
      <protection locked="0"/>
    </xf>
    <xf numFmtId="7" fontId="0" fillId="0" borderId="21" xfId="1" applyNumberFormat="1" applyFont="1" applyFill="1" applyBorder="1" applyAlignment="1" applyProtection="1">
      <alignment horizontal="center"/>
      <protection locked="0"/>
    </xf>
    <xf numFmtId="0" fontId="10" fillId="3" borderId="52" xfId="0" applyFont="1" applyFill="1" applyBorder="1" applyProtection="1">
      <protection locked="0"/>
    </xf>
    <xf numFmtId="0" fontId="10" fillId="3" borderId="53" xfId="0" applyFont="1" applyFill="1" applyBorder="1" applyAlignment="1" applyProtection="1">
      <alignment horizontal="right"/>
      <protection locked="0"/>
    </xf>
    <xf numFmtId="168" fontId="14" fillId="3" borderId="53" xfId="0" applyNumberFormat="1" applyFont="1" applyFill="1" applyBorder="1" applyAlignment="1" applyProtection="1">
      <alignment horizontal="center"/>
      <protection locked="0"/>
    </xf>
    <xf numFmtId="0" fontId="6" fillId="3" borderId="53" xfId="0" applyFont="1" applyFill="1" applyBorder="1" applyAlignment="1" applyProtection="1">
      <alignment horizontal="center"/>
      <protection locked="0"/>
    </xf>
    <xf numFmtId="0" fontId="8" fillId="3" borderId="53" xfId="0" applyFont="1" applyFill="1" applyBorder="1" applyAlignment="1" applyProtection="1">
      <alignment horizontal="right"/>
      <protection locked="0"/>
    </xf>
    <xf numFmtId="7" fontId="8" fillId="3" borderId="62" xfId="0" applyNumberFormat="1" applyFont="1" applyFill="1" applyBorder="1" applyAlignment="1" applyProtection="1">
      <alignment horizontal="center"/>
      <protection locked="0"/>
    </xf>
    <xf numFmtId="7" fontId="8" fillId="3" borderId="54" xfId="0" applyNumberFormat="1" applyFont="1" applyFill="1" applyBorder="1" applyAlignment="1" applyProtection="1">
      <alignment horizontal="center"/>
      <protection locked="0"/>
    </xf>
    <xf numFmtId="0" fontId="16" fillId="0" borderId="25" xfId="0" applyFont="1" applyBorder="1" applyProtection="1">
      <protection locked="0"/>
    </xf>
    <xf numFmtId="168" fontId="0" fillId="0" borderId="61" xfId="0" applyNumberFormat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left"/>
      <protection locked="0"/>
    </xf>
    <xf numFmtId="14" fontId="0" fillId="0" borderId="0" xfId="0" applyNumberFormat="1" applyAlignment="1" applyProtection="1">
      <alignment horizontal="left"/>
      <protection locked="0"/>
    </xf>
    <xf numFmtId="0" fontId="7" fillId="0" borderId="32" xfId="0" applyFont="1" applyBorder="1" applyAlignment="1" applyProtection="1">
      <alignment horizontal="left"/>
      <protection locked="0"/>
    </xf>
    <xf numFmtId="14" fontId="12" fillId="0" borderId="32" xfId="0" applyNumberFormat="1" applyFont="1" applyBorder="1" applyAlignment="1" applyProtection="1">
      <alignment horizontal="right"/>
      <protection locked="0"/>
    </xf>
    <xf numFmtId="0" fontId="5" fillId="0" borderId="25" xfId="0" applyFont="1" applyBorder="1" applyAlignment="1" applyProtection="1">
      <alignment horizontal="center"/>
      <protection locked="0"/>
    </xf>
    <xf numFmtId="3" fontId="0" fillId="0" borderId="25" xfId="0" applyNumberFormat="1" applyBorder="1" applyAlignment="1" applyProtection="1">
      <alignment horizontal="center"/>
      <protection locked="0"/>
    </xf>
    <xf numFmtId="0" fontId="18" fillId="0" borderId="0" xfId="0" applyFont="1" applyProtection="1">
      <protection locked="0"/>
    </xf>
    <xf numFmtId="0" fontId="18" fillId="0" borderId="24" xfId="0" applyFont="1" applyBorder="1" applyProtection="1">
      <protection locked="0"/>
    </xf>
    <xf numFmtId="7" fontId="0" fillId="0" borderId="61" xfId="1" applyNumberFormat="1" applyFont="1" applyBorder="1" applyAlignment="1" applyProtection="1">
      <alignment horizontal="center"/>
      <protection locked="0"/>
    </xf>
    <xf numFmtId="7" fontId="0" fillId="0" borderId="21" xfId="1" applyNumberFormat="1" applyFont="1" applyBorder="1" applyAlignment="1" applyProtection="1">
      <alignment horizontal="center"/>
      <protection locked="0"/>
    </xf>
    <xf numFmtId="0" fontId="0" fillId="0" borderId="19" xfId="0" quotePrefix="1" applyBorder="1" applyAlignment="1" applyProtection="1">
      <alignment horizontal="center"/>
      <protection locked="0"/>
    </xf>
    <xf numFmtId="0" fontId="0" fillId="0" borderId="19" xfId="0" applyBorder="1" applyProtection="1">
      <protection locked="0"/>
    </xf>
    <xf numFmtId="0" fontId="5" fillId="0" borderId="61" xfId="0" applyFont="1" applyBorder="1" applyProtection="1">
      <protection locked="0"/>
    </xf>
    <xf numFmtId="0" fontId="0" fillId="0" borderId="61" xfId="0" applyBorder="1" applyAlignment="1" applyProtection="1">
      <alignment horizontal="left" indent="1"/>
      <protection locked="0"/>
    </xf>
    <xf numFmtId="17" fontId="0" fillId="0" borderId="19" xfId="0" applyNumberFormat="1" applyBorder="1" applyAlignment="1" applyProtection="1">
      <alignment horizontal="center"/>
      <protection locked="0"/>
    </xf>
    <xf numFmtId="0" fontId="0" fillId="0" borderId="57" xfId="0" applyBorder="1" applyAlignment="1" applyProtection="1">
      <alignment horizontal="center"/>
      <protection locked="0"/>
    </xf>
    <xf numFmtId="0" fontId="0" fillId="0" borderId="61" xfId="0" applyBorder="1" applyAlignment="1" applyProtection="1">
      <alignment horizontal="left"/>
      <protection locked="0"/>
    </xf>
    <xf numFmtId="0" fontId="8" fillId="3" borderId="19" xfId="0" applyFont="1" applyFill="1" applyBorder="1" applyProtection="1">
      <protection locked="0"/>
    </xf>
    <xf numFmtId="0" fontId="8" fillId="3" borderId="20" xfId="0" applyFont="1" applyFill="1" applyBorder="1" applyAlignment="1" applyProtection="1">
      <alignment horizontal="right"/>
      <protection locked="0"/>
    </xf>
    <xf numFmtId="168" fontId="15" fillId="3" borderId="20" xfId="0" applyNumberFormat="1" applyFont="1" applyFill="1" applyBorder="1" applyAlignment="1" applyProtection="1">
      <alignment horizontal="center"/>
      <protection locked="0"/>
    </xf>
    <xf numFmtId="0" fontId="8" fillId="3" borderId="20" xfId="0" applyFont="1" applyFill="1" applyBorder="1" applyAlignment="1" applyProtection="1">
      <alignment horizontal="center"/>
      <protection locked="0"/>
    </xf>
    <xf numFmtId="0" fontId="16" fillId="0" borderId="0" xfId="0" applyFont="1" applyProtection="1">
      <protection locked="0"/>
    </xf>
    <xf numFmtId="0" fontId="16" fillId="0" borderId="24" xfId="0" applyFont="1" applyBorder="1" applyProtection="1">
      <protection locked="0"/>
    </xf>
    <xf numFmtId="0" fontId="8" fillId="3" borderId="52" xfId="0" applyFont="1" applyFill="1" applyBorder="1" applyProtection="1">
      <protection locked="0"/>
    </xf>
    <xf numFmtId="168" fontId="15" fillId="3" borderId="53" xfId="0" applyNumberFormat="1" applyFont="1" applyFill="1" applyBorder="1" applyAlignment="1" applyProtection="1">
      <alignment horizontal="center"/>
      <protection locked="0"/>
    </xf>
    <xf numFmtId="0" fontId="8" fillId="3" borderId="53" xfId="0" applyFont="1" applyFill="1" applyBorder="1" applyAlignment="1" applyProtection="1">
      <alignment horizontal="center"/>
      <protection locked="0"/>
    </xf>
    <xf numFmtId="7" fontId="8" fillId="3" borderId="10" xfId="0" applyNumberFormat="1" applyFont="1" applyFill="1" applyBorder="1" applyAlignment="1" applyProtection="1">
      <alignment horizontal="right"/>
      <protection locked="0"/>
    </xf>
    <xf numFmtId="0" fontId="7" fillId="0" borderId="0" xfId="0" applyFont="1" applyAlignment="1" applyProtection="1">
      <alignment horizontal="center"/>
      <protection locked="0"/>
    </xf>
    <xf numFmtId="171" fontId="12" fillId="0" borderId="0" xfId="0" quotePrefix="1" applyNumberFormat="1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0" fillId="0" borderId="0" xfId="0" quotePrefix="1" applyProtection="1">
      <protection locked="0"/>
    </xf>
    <xf numFmtId="0" fontId="20" fillId="0" borderId="24" xfId="0" applyFont="1" applyBorder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 wrapText="1"/>
      <protection locked="0"/>
    </xf>
    <xf numFmtId="0" fontId="20" fillId="0" borderId="25" xfId="0" applyFont="1" applyBorder="1" applyAlignment="1" applyProtection="1">
      <alignment horizontal="center"/>
      <protection locked="0"/>
    </xf>
    <xf numFmtId="7" fontId="8" fillId="3" borderId="53" xfId="0" applyNumberFormat="1" applyFont="1" applyFill="1" applyBorder="1" applyAlignment="1" applyProtection="1">
      <alignment horizontal="center"/>
      <protection locked="0"/>
    </xf>
    <xf numFmtId="0" fontId="0" fillId="4" borderId="32" xfId="0" applyFill="1" applyBorder="1" applyProtection="1">
      <protection locked="0"/>
    </xf>
    <xf numFmtId="0" fontId="11" fillId="0" borderId="32" xfId="0" applyFont="1" applyBorder="1" applyProtection="1">
      <protection locked="0"/>
    </xf>
    <xf numFmtId="0" fontId="11" fillId="0" borderId="0" xfId="0" applyFont="1" applyProtection="1">
      <protection locked="0"/>
    </xf>
    <xf numFmtId="0" fontId="27" fillId="0" borderId="0" xfId="0" applyFont="1" applyProtection="1">
      <protection locked="0"/>
    </xf>
    <xf numFmtId="0" fontId="0" fillId="4" borderId="0" xfId="0" applyFill="1" applyProtection="1">
      <protection locked="0"/>
    </xf>
    <xf numFmtId="0" fontId="0" fillId="4" borderId="40" xfId="0" applyFill="1" applyBorder="1" applyProtection="1">
      <protection locked="0"/>
    </xf>
    <xf numFmtId="44" fontId="0" fillId="0" borderId="19" xfId="1" applyFont="1" applyBorder="1" applyAlignment="1" applyProtection="1">
      <alignment horizontal="center"/>
      <protection locked="0"/>
    </xf>
    <xf numFmtId="44" fontId="0" fillId="0" borderId="61" xfId="0" applyNumberFormat="1" applyBorder="1" applyAlignment="1" applyProtection="1">
      <alignment horizontal="center"/>
      <protection locked="0"/>
    </xf>
    <xf numFmtId="44" fontId="0" fillId="0" borderId="21" xfId="1" applyFont="1" applyBorder="1" applyAlignment="1" applyProtection="1">
      <alignment horizontal="center"/>
      <protection locked="0"/>
    </xf>
    <xf numFmtId="44" fontId="8" fillId="3" borderId="10" xfId="0" applyNumberFormat="1" applyFont="1" applyFill="1" applyBorder="1" applyAlignment="1" applyProtection="1">
      <alignment horizontal="center"/>
      <protection locked="0"/>
    </xf>
    <xf numFmtId="44" fontId="8" fillId="3" borderId="56" xfId="0" applyNumberFormat="1" applyFont="1" applyFill="1" applyBorder="1" applyAlignment="1" applyProtection="1">
      <alignment horizontal="center"/>
      <protection locked="0"/>
    </xf>
    <xf numFmtId="7" fontId="8" fillId="4" borderId="66" xfId="0" applyNumberFormat="1" applyFont="1" applyFill="1" applyBorder="1" applyAlignment="1" applyProtection="1">
      <alignment horizontal="center"/>
      <protection locked="0"/>
    </xf>
    <xf numFmtId="7" fontId="24" fillId="0" borderId="0" xfId="6" applyNumberFormat="1" applyFont="1" applyProtection="1">
      <protection locked="0"/>
    </xf>
    <xf numFmtId="42" fontId="24" fillId="0" borderId="33" xfId="6" applyNumberFormat="1" applyFont="1" applyBorder="1" applyProtection="1">
      <protection locked="0"/>
    </xf>
    <xf numFmtId="42" fontId="24" fillId="0" borderId="0" xfId="6" applyNumberFormat="1" applyFont="1" applyProtection="1">
      <protection locked="0"/>
    </xf>
    <xf numFmtId="0" fontId="22" fillId="0" borderId="0" xfId="0" applyFont="1" applyAlignment="1" applyProtection="1">
      <alignment vertical="center"/>
      <protection locked="0"/>
    </xf>
    <xf numFmtId="49" fontId="22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/>
    <xf numFmtId="0" fontId="7" fillId="0" borderId="0" xfId="0" applyFont="1" applyAlignment="1">
      <alignment horizontal="right"/>
    </xf>
    <xf numFmtId="14" fontId="12" fillId="0" borderId="0" xfId="0" applyNumberFormat="1" applyFont="1" applyAlignment="1">
      <alignment horizontal="right"/>
    </xf>
    <xf numFmtId="0" fontId="7" fillId="0" borderId="32" xfId="0" applyFont="1" applyBorder="1"/>
    <xf numFmtId="0" fontId="12" fillId="0" borderId="32" xfId="0" applyFont="1" applyBorder="1"/>
    <xf numFmtId="14" fontId="12" fillId="0" borderId="32" xfId="0" applyNumberFormat="1" applyFont="1" applyBorder="1"/>
    <xf numFmtId="14" fontId="12" fillId="0" borderId="0" xfId="0" applyNumberFormat="1" applyFont="1"/>
    <xf numFmtId="0" fontId="12" fillId="0" borderId="34" xfId="0" applyFont="1" applyBorder="1"/>
    <xf numFmtId="10" fontId="12" fillId="0" borderId="36" xfId="2" applyNumberFormat="1" applyFont="1" applyBorder="1" applyProtection="1"/>
    <xf numFmtId="171" fontId="12" fillId="0" borderId="0" xfId="0" applyNumberFormat="1" applyFont="1"/>
    <xf numFmtId="0" fontId="7" fillId="0" borderId="37" xfId="0" applyFont="1" applyBorder="1" applyAlignment="1">
      <alignment horizontal="center"/>
    </xf>
    <xf numFmtId="170" fontId="12" fillId="0" borderId="38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32" xfId="0" applyFont="1" applyBorder="1" applyAlignment="1">
      <alignment horizontal="left"/>
    </xf>
    <xf numFmtId="7" fontId="0" fillId="0" borderId="61" xfId="0" applyNumberFormat="1" applyBorder="1" applyAlignment="1">
      <alignment horizontal="center"/>
    </xf>
    <xf numFmtId="7" fontId="0" fillId="0" borderId="21" xfId="1" applyNumberFormat="1" applyFont="1" applyBorder="1" applyAlignment="1" applyProtection="1">
      <alignment horizontal="center"/>
    </xf>
    <xf numFmtId="7" fontId="13" fillId="0" borderId="0" xfId="3" applyNumberFormat="1"/>
    <xf numFmtId="7" fontId="0" fillId="0" borderId="21" xfId="1" applyNumberFormat="1" applyFont="1" applyFill="1" applyBorder="1" applyAlignment="1" applyProtection="1">
      <alignment horizontal="center"/>
    </xf>
    <xf numFmtId="5" fontId="8" fillId="3" borderId="62" xfId="0" applyNumberFormat="1" applyFont="1" applyFill="1" applyBorder="1" applyAlignment="1">
      <alignment horizontal="center"/>
    </xf>
    <xf numFmtId="7" fontId="8" fillId="3" borderId="54" xfId="0" applyNumberFormat="1" applyFont="1" applyFill="1" applyBorder="1" applyAlignment="1">
      <alignment horizontal="center"/>
    </xf>
    <xf numFmtId="7" fontId="4" fillId="0" borderId="21" xfId="1" applyNumberFormat="1" applyFont="1" applyFill="1" applyBorder="1" applyAlignment="1" applyProtection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3" fillId="0" borderId="0" xfId="8"/>
    <xf numFmtId="14" fontId="3" fillId="0" borderId="0" xfId="8" applyNumberFormat="1"/>
    <xf numFmtId="0" fontId="0" fillId="6" borderId="31" xfId="0" applyFill="1" applyBorder="1" applyAlignment="1" applyProtection="1">
      <alignment horizontal="left"/>
      <protection locked="0"/>
    </xf>
    <xf numFmtId="0" fontId="0" fillId="6" borderId="5" xfId="0" applyFill="1" applyBorder="1" applyAlignment="1" applyProtection="1">
      <alignment horizontal="left"/>
      <protection locked="0"/>
    </xf>
    <xf numFmtId="1" fontId="0" fillId="6" borderId="5" xfId="0" applyNumberFormat="1" applyFill="1" applyBorder="1" applyAlignment="1" applyProtection="1">
      <alignment horizontal="left"/>
      <protection locked="0"/>
    </xf>
    <xf numFmtId="14" fontId="0" fillId="6" borderId="31" xfId="0" applyNumberFormat="1" applyFill="1" applyBorder="1" applyAlignment="1" applyProtection="1">
      <alignment horizontal="left"/>
      <protection locked="0"/>
    </xf>
    <xf numFmtId="14" fontId="0" fillId="6" borderId="5" xfId="0" applyNumberFormat="1" applyFill="1" applyBorder="1" applyAlignment="1" applyProtection="1">
      <alignment horizontal="left"/>
      <protection locked="0"/>
    </xf>
    <xf numFmtId="169" fontId="0" fillId="6" borderId="21" xfId="0" applyNumberFormat="1" applyFill="1" applyBorder="1" applyAlignment="1" applyProtection="1">
      <alignment horizontal="left"/>
      <protection locked="0"/>
    </xf>
    <xf numFmtId="0" fontId="0" fillId="6" borderId="31" xfId="0" applyFill="1" applyBorder="1" applyProtection="1">
      <protection locked="0"/>
    </xf>
    <xf numFmtId="0" fontId="0" fillId="6" borderId="5" xfId="0" applyFill="1" applyBorder="1" applyProtection="1">
      <protection locked="0"/>
    </xf>
    <xf numFmtId="10" fontId="0" fillId="6" borderId="3" xfId="2" applyNumberFormat="1" applyFont="1" applyFill="1" applyBorder="1" applyProtection="1">
      <protection locked="0"/>
    </xf>
    <xf numFmtId="10" fontId="0" fillId="6" borderId="5" xfId="2" applyNumberFormat="1" applyFont="1" applyFill="1" applyBorder="1" applyProtection="1">
      <protection locked="0"/>
    </xf>
    <xf numFmtId="10" fontId="0" fillId="6" borderId="12" xfId="2" applyNumberFormat="1" applyFont="1" applyFill="1" applyBorder="1" applyProtection="1">
      <protection locked="0"/>
    </xf>
    <xf numFmtId="6" fontId="0" fillId="0" borderId="0" xfId="0" applyNumberFormat="1" applyAlignment="1" applyProtection="1">
      <alignment horizontal="left"/>
      <protection locked="0"/>
    </xf>
    <xf numFmtId="10" fontId="0" fillId="0" borderId="0" xfId="0" applyNumberFormat="1" applyAlignment="1" applyProtection="1">
      <alignment horizontal="left"/>
      <protection locked="0"/>
    </xf>
    <xf numFmtId="7" fontId="0" fillId="0" borderId="39" xfId="1" applyNumberFormat="1" applyFont="1" applyFill="1" applyBorder="1" applyProtection="1"/>
    <xf numFmtId="7" fontId="0" fillId="0" borderId="1" xfId="1" applyNumberFormat="1" applyFont="1" applyFill="1" applyBorder="1" applyProtection="1"/>
    <xf numFmtId="7" fontId="0" fillId="0" borderId="42" xfId="1" applyNumberFormat="1" applyFont="1" applyFill="1" applyBorder="1" applyProtection="1"/>
    <xf numFmtId="164" fontId="0" fillId="0" borderId="46" xfId="0" applyNumberFormat="1" applyBorder="1"/>
    <xf numFmtId="164" fontId="0" fillId="0" borderId="49" xfId="0" applyNumberFormat="1" applyBorder="1"/>
    <xf numFmtId="7" fontId="5" fillId="0" borderId="36" xfId="0" applyNumberFormat="1" applyFont="1" applyBorder="1"/>
    <xf numFmtId="3" fontId="19" fillId="7" borderId="1" xfId="0" applyNumberFormat="1" applyFont="1" applyFill="1" applyBorder="1" applyAlignment="1" applyProtection="1">
      <alignment horizontal="center"/>
      <protection locked="0"/>
    </xf>
    <xf numFmtId="3" fontId="19" fillId="8" borderId="1" xfId="0" applyNumberFormat="1" applyFont="1" applyFill="1" applyBorder="1" applyAlignment="1" applyProtection="1">
      <alignment horizontal="center"/>
      <protection locked="0"/>
    </xf>
    <xf numFmtId="3" fontId="19" fillId="9" borderId="1" xfId="0" applyNumberFormat="1" applyFont="1" applyFill="1" applyBorder="1" applyAlignment="1" applyProtection="1">
      <alignment horizontal="center"/>
      <protection locked="0"/>
    </xf>
    <xf numFmtId="4" fontId="0" fillId="0" borderId="61" xfId="0" applyNumberFormat="1" applyBorder="1" applyAlignment="1" applyProtection="1">
      <alignment horizontal="center"/>
      <protection locked="0"/>
    </xf>
    <xf numFmtId="4" fontId="0" fillId="0" borderId="61" xfId="0" applyNumberFormat="1" applyBorder="1" applyAlignment="1">
      <alignment horizontal="center"/>
    </xf>
    <xf numFmtId="167" fontId="0" fillId="0" borderId="61" xfId="1" applyNumberFormat="1" applyFont="1" applyBorder="1" applyAlignment="1" applyProtection="1">
      <alignment horizontal="center"/>
    </xf>
    <xf numFmtId="167" fontId="0" fillId="0" borderId="61" xfId="1" applyNumberFormat="1" applyFont="1" applyFill="1" applyBorder="1" applyAlignment="1" applyProtection="1">
      <alignment horizontal="center"/>
      <protection locked="0"/>
    </xf>
    <xf numFmtId="4" fontId="19" fillId="0" borderId="61" xfId="0" applyNumberFormat="1" applyFont="1" applyBorder="1" applyAlignment="1">
      <alignment horizontal="center"/>
    </xf>
    <xf numFmtId="4" fontId="19" fillId="0" borderId="61" xfId="0" applyNumberFormat="1" applyFont="1" applyBorder="1" applyAlignment="1" applyProtection="1">
      <alignment horizontal="center"/>
      <protection locked="0"/>
    </xf>
    <xf numFmtId="0" fontId="20" fillId="10" borderId="58" xfId="0" applyFont="1" applyFill="1" applyBorder="1" applyAlignment="1" applyProtection="1">
      <alignment horizontal="center"/>
      <protection locked="0"/>
    </xf>
    <xf numFmtId="0" fontId="20" fillId="10" borderId="59" xfId="0" applyFont="1" applyFill="1" applyBorder="1" applyAlignment="1" applyProtection="1">
      <alignment horizontal="center"/>
      <protection locked="0"/>
    </xf>
    <xf numFmtId="7" fontId="8" fillId="10" borderId="32" xfId="0" applyNumberFormat="1" applyFont="1" applyFill="1" applyBorder="1" applyAlignment="1">
      <alignment horizontal="center"/>
    </xf>
    <xf numFmtId="168" fontId="15" fillId="10" borderId="32" xfId="0" applyNumberFormat="1" applyFont="1" applyFill="1" applyBorder="1" applyAlignment="1" applyProtection="1">
      <alignment horizontal="center"/>
      <protection locked="0"/>
    </xf>
    <xf numFmtId="0" fontId="8" fillId="10" borderId="32" xfId="0" applyFont="1" applyFill="1" applyBorder="1" applyAlignment="1" applyProtection="1">
      <alignment horizontal="center"/>
      <protection locked="0"/>
    </xf>
    <xf numFmtId="0" fontId="8" fillId="10" borderId="32" xfId="0" applyFont="1" applyFill="1" applyBorder="1" applyAlignment="1" applyProtection="1">
      <alignment horizontal="left"/>
      <protection locked="0"/>
    </xf>
    <xf numFmtId="0" fontId="9" fillId="10" borderId="32" xfId="0" applyFont="1" applyFill="1" applyBorder="1"/>
    <xf numFmtId="0" fontId="9" fillId="10" borderId="23" xfId="0" applyFont="1" applyFill="1" applyBorder="1"/>
    <xf numFmtId="0" fontId="20" fillId="10" borderId="50" xfId="0" applyFont="1" applyFill="1" applyBorder="1" applyAlignment="1" applyProtection="1">
      <alignment horizontal="center"/>
      <protection locked="0"/>
    </xf>
    <xf numFmtId="0" fontId="20" fillId="10" borderId="51" xfId="0" applyFont="1" applyFill="1" applyBorder="1" applyAlignment="1" applyProtection="1">
      <alignment horizontal="center"/>
      <protection locked="0"/>
    </xf>
    <xf numFmtId="0" fontId="7" fillId="10" borderId="13" xfId="0" applyFont="1" applyFill="1" applyBorder="1" applyProtection="1">
      <protection locked="0"/>
    </xf>
    <xf numFmtId="0" fontId="7" fillId="10" borderId="8" xfId="0" applyFont="1" applyFill="1" applyBorder="1" applyAlignment="1" applyProtection="1">
      <alignment horizontal="center"/>
      <protection locked="0"/>
    </xf>
    <xf numFmtId="0" fontId="20" fillId="10" borderId="60" xfId="0" applyFont="1" applyFill="1" applyBorder="1" applyAlignment="1" applyProtection="1">
      <alignment horizontal="center"/>
      <protection locked="0"/>
    </xf>
    <xf numFmtId="0" fontId="8" fillId="10" borderId="32" xfId="0" applyFont="1" applyFill="1" applyBorder="1" applyProtection="1">
      <protection locked="0"/>
    </xf>
    <xf numFmtId="0" fontId="8" fillId="10" borderId="23" xfId="0" applyFont="1" applyFill="1" applyBorder="1" applyProtection="1">
      <protection locked="0"/>
    </xf>
    <xf numFmtId="7" fontId="8" fillId="10" borderId="32" xfId="0" applyNumberFormat="1" applyFont="1" applyFill="1" applyBorder="1" applyAlignment="1" applyProtection="1">
      <alignment horizontal="center"/>
      <protection locked="0"/>
    </xf>
    <xf numFmtId="0" fontId="9" fillId="10" borderId="32" xfId="0" applyFont="1" applyFill="1" applyBorder="1" applyProtection="1">
      <protection locked="0"/>
    </xf>
    <xf numFmtId="0" fontId="9" fillId="10" borderId="23" xfId="0" applyFont="1" applyFill="1" applyBorder="1" applyProtection="1">
      <protection locked="0"/>
    </xf>
    <xf numFmtId="0" fontId="20" fillId="10" borderId="59" xfId="0" applyFont="1" applyFill="1" applyBorder="1" applyAlignment="1" applyProtection="1">
      <alignment horizontal="center" wrapText="1"/>
      <protection locked="0"/>
    </xf>
    <xf numFmtId="0" fontId="20" fillId="10" borderId="24" xfId="0" applyFont="1" applyFill="1" applyBorder="1" applyAlignment="1" applyProtection="1">
      <alignment horizontal="center"/>
      <protection locked="0"/>
    </xf>
    <xf numFmtId="0" fontId="20" fillId="10" borderId="65" xfId="0" applyFont="1" applyFill="1" applyBorder="1" applyAlignment="1" applyProtection="1">
      <alignment horizontal="center" wrapText="1"/>
      <protection locked="0"/>
    </xf>
    <xf numFmtId="0" fontId="20" fillId="10" borderId="65" xfId="0" applyFont="1" applyFill="1" applyBorder="1" applyAlignment="1" applyProtection="1">
      <alignment horizontal="center"/>
      <protection locked="0"/>
    </xf>
    <xf numFmtId="0" fontId="20" fillId="10" borderId="29" xfId="0" applyFont="1" applyFill="1" applyBorder="1" applyAlignment="1" applyProtection="1">
      <alignment horizontal="center"/>
      <protection locked="0"/>
    </xf>
    <xf numFmtId="0" fontId="0" fillId="10" borderId="0" xfId="0" applyFill="1" applyProtection="1">
      <protection locked="0"/>
    </xf>
    <xf numFmtId="0" fontId="20" fillId="10" borderId="13" xfId="0" applyFont="1" applyFill="1" applyBorder="1" applyProtection="1">
      <protection locked="0"/>
    </xf>
    <xf numFmtId="0" fontId="20" fillId="10" borderId="7" xfId="0" applyFont="1" applyFill="1" applyBorder="1" applyProtection="1">
      <protection locked="0"/>
    </xf>
    <xf numFmtId="7" fontId="8" fillId="10" borderId="6" xfId="0" applyNumberFormat="1" applyFont="1" applyFill="1" applyBorder="1" applyAlignment="1" applyProtection="1">
      <alignment horizontal="center"/>
      <protection locked="0"/>
    </xf>
    <xf numFmtId="0" fontId="8" fillId="10" borderId="23" xfId="0" applyFont="1" applyFill="1" applyBorder="1" applyAlignment="1" applyProtection="1">
      <alignment horizontal="left"/>
      <protection locked="0"/>
    </xf>
    <xf numFmtId="7" fontId="0" fillId="0" borderId="5" xfId="0" applyNumberFormat="1" applyBorder="1" applyAlignment="1" applyProtection="1">
      <alignment horizontal="center"/>
      <protection locked="0"/>
    </xf>
    <xf numFmtId="0" fontId="5" fillId="10" borderId="13" xfId="0" applyFont="1" applyFill="1" applyBorder="1" applyProtection="1">
      <protection locked="0"/>
    </xf>
    <xf numFmtId="0" fontId="5" fillId="10" borderId="8" xfId="0" applyFont="1" applyFill="1" applyBorder="1" applyAlignment="1" applyProtection="1">
      <alignment horizontal="center"/>
      <protection locked="0"/>
    </xf>
    <xf numFmtId="7" fontId="28" fillId="3" borderId="10" xfId="0" applyNumberFormat="1" applyFont="1" applyFill="1" applyBorder="1" applyProtection="1">
      <protection locked="0"/>
    </xf>
    <xf numFmtId="7" fontId="28" fillId="3" borderId="22" xfId="0" applyNumberFormat="1" applyFont="1" applyFill="1" applyBorder="1" applyAlignment="1" applyProtection="1">
      <alignment horizontal="center"/>
      <protection locked="0"/>
    </xf>
    <xf numFmtId="0" fontId="6" fillId="10" borderId="34" xfId="0" applyFont="1" applyFill="1" applyBorder="1" applyProtection="1">
      <protection locked="0"/>
    </xf>
    <xf numFmtId="0" fontId="6" fillId="10" borderId="35" xfId="0" applyFont="1" applyFill="1" applyBorder="1" applyProtection="1">
      <protection locked="0"/>
    </xf>
    <xf numFmtId="0" fontId="6" fillId="10" borderId="36" xfId="0" applyFont="1" applyFill="1" applyBorder="1" applyProtection="1">
      <protection locked="0"/>
    </xf>
    <xf numFmtId="37" fontId="5" fillId="0" borderId="36" xfId="1" applyNumberFormat="1" applyFont="1" applyBorder="1"/>
    <xf numFmtId="0" fontId="1" fillId="0" borderId="0" xfId="10"/>
    <xf numFmtId="0" fontId="29" fillId="0" borderId="0" xfId="10" applyFont="1" applyAlignment="1">
      <alignment horizontal="right"/>
    </xf>
    <xf numFmtId="14" fontId="1" fillId="0" borderId="0" xfId="10" applyNumberFormat="1"/>
    <xf numFmtId="0" fontId="1" fillId="0" borderId="0" xfId="10" applyAlignment="1">
      <alignment horizontal="left"/>
    </xf>
    <xf numFmtId="0" fontId="29" fillId="0" borderId="0" xfId="10" applyFont="1"/>
    <xf numFmtId="14" fontId="29" fillId="0" borderId="0" xfId="10" applyNumberFormat="1" applyFont="1"/>
    <xf numFmtId="0" fontId="29" fillId="11" borderId="0" xfId="10" applyFont="1" applyFill="1" applyAlignment="1">
      <alignment horizontal="center"/>
    </xf>
    <xf numFmtId="172" fontId="29" fillId="11" borderId="0" xfId="11" applyNumberFormat="1" applyFont="1" applyFill="1" applyBorder="1" applyAlignment="1">
      <alignment horizontal="center"/>
    </xf>
    <xf numFmtId="0" fontId="29" fillId="0" borderId="0" xfId="10" applyFont="1" applyAlignment="1">
      <alignment horizontal="center"/>
    </xf>
    <xf numFmtId="0" fontId="29" fillId="0" borderId="69" xfId="10" applyFont="1" applyBorder="1"/>
    <xf numFmtId="0" fontId="1" fillId="0" borderId="70" xfId="10" applyBorder="1"/>
    <xf numFmtId="0" fontId="29" fillId="0" borderId="71" xfId="10" applyFont="1" applyBorder="1"/>
    <xf numFmtId="0" fontId="29" fillId="11" borderId="72" xfId="10" applyFont="1" applyFill="1" applyBorder="1" applyAlignment="1">
      <alignment horizontal="center"/>
    </xf>
    <xf numFmtId="0" fontId="1" fillId="0" borderId="75" xfId="10" applyBorder="1"/>
    <xf numFmtId="0" fontId="29" fillId="0" borderId="76" xfId="10" applyFont="1" applyBorder="1" applyAlignment="1">
      <alignment horizontal="left"/>
    </xf>
    <xf numFmtId="0" fontId="29" fillId="0" borderId="77" xfId="10" applyFont="1" applyBorder="1" applyAlignment="1">
      <alignment horizontal="center"/>
    </xf>
    <xf numFmtId="0" fontId="1" fillId="0" borderId="76" xfId="10" applyBorder="1" applyAlignment="1">
      <alignment horizontal="left"/>
    </xf>
    <xf numFmtId="0" fontId="1" fillId="0" borderId="77" xfId="10" applyBorder="1" applyAlignment="1">
      <alignment horizontal="center"/>
    </xf>
    <xf numFmtId="0" fontId="1" fillId="0" borderId="77" xfId="10" applyBorder="1"/>
    <xf numFmtId="5" fontId="29" fillId="0" borderId="77" xfId="11" applyNumberFormat="1" applyFont="1" applyBorder="1" applyAlignment="1">
      <alignment horizontal="center"/>
    </xf>
    <xf numFmtId="173" fontId="0" fillId="0" borderId="0" xfId="11" applyNumberFormat="1" applyFont="1" applyBorder="1"/>
    <xf numFmtId="173" fontId="0" fillId="0" borderId="77" xfId="11" applyNumberFormat="1" applyFont="1" applyBorder="1"/>
    <xf numFmtId="0" fontId="1" fillId="0" borderId="76" xfId="10" applyBorder="1"/>
    <xf numFmtId="5" fontId="0" fillId="11" borderId="0" xfId="11" applyNumberFormat="1" applyFont="1" applyFill="1" applyBorder="1" applyAlignment="1">
      <alignment horizontal="center"/>
    </xf>
    <xf numFmtId="5" fontId="0" fillId="0" borderId="77" xfId="11" applyNumberFormat="1" applyFont="1" applyFill="1" applyBorder="1" applyAlignment="1">
      <alignment horizontal="center"/>
    </xf>
    <xf numFmtId="37" fontId="0" fillId="0" borderId="0" xfId="11" applyNumberFormat="1" applyFont="1" applyBorder="1" applyAlignment="1">
      <alignment horizontal="center"/>
    </xf>
    <xf numFmtId="37" fontId="0" fillId="0" borderId="77" xfId="11" applyNumberFormat="1" applyFont="1" applyBorder="1" applyAlignment="1">
      <alignment horizontal="center"/>
    </xf>
    <xf numFmtId="172" fontId="0" fillId="0" borderId="0" xfId="11" applyNumberFormat="1" applyFont="1" applyFill="1" applyBorder="1" applyAlignment="1">
      <alignment horizontal="center"/>
    </xf>
    <xf numFmtId="172" fontId="0" fillId="0" borderId="77" xfId="11" applyNumberFormat="1" applyFont="1" applyFill="1" applyBorder="1" applyAlignment="1">
      <alignment horizontal="center"/>
    </xf>
    <xf numFmtId="0" fontId="1" fillId="11" borderId="0" xfId="10" applyFill="1" applyAlignment="1">
      <alignment horizontal="center"/>
    </xf>
    <xf numFmtId="173" fontId="0" fillId="0" borderId="77" xfId="11" applyNumberFormat="1" applyFont="1" applyBorder="1" applyAlignment="1">
      <alignment horizontal="center"/>
    </xf>
    <xf numFmtId="5" fontId="1" fillId="0" borderId="77" xfId="11" applyNumberFormat="1" applyFont="1" applyBorder="1" applyAlignment="1">
      <alignment horizontal="center"/>
    </xf>
    <xf numFmtId="7" fontId="0" fillId="11" borderId="0" xfId="11" applyNumberFormat="1" applyFont="1" applyFill="1" applyBorder="1" applyAlignment="1">
      <alignment horizontal="center"/>
    </xf>
    <xf numFmtId="0" fontId="1" fillId="0" borderId="0" xfId="10" applyAlignment="1">
      <alignment horizontal="center"/>
    </xf>
    <xf numFmtId="7" fontId="0" fillId="0" borderId="0" xfId="11" applyNumberFormat="1" applyFont="1" applyFill="1" applyBorder="1" applyAlignment="1">
      <alignment horizontal="center"/>
    </xf>
    <xf numFmtId="0" fontId="29" fillId="0" borderId="70" xfId="10" applyFont="1" applyBorder="1"/>
    <xf numFmtId="5" fontId="29" fillId="0" borderId="72" xfId="11" applyNumberFormat="1" applyFont="1" applyBorder="1" applyAlignment="1">
      <alignment horizontal="center"/>
    </xf>
    <xf numFmtId="0" fontId="29" fillId="0" borderId="76" xfId="10" applyFont="1" applyBorder="1"/>
    <xf numFmtId="6" fontId="29" fillId="0" borderId="77" xfId="10" applyNumberFormat="1" applyFont="1" applyBorder="1" applyAlignment="1">
      <alignment horizontal="center"/>
    </xf>
    <xf numFmtId="0" fontId="29" fillId="0" borderId="77" xfId="10" applyFont="1" applyBorder="1"/>
    <xf numFmtId="5" fontId="29" fillId="11" borderId="77" xfId="11" applyNumberFormat="1" applyFont="1" applyFill="1" applyBorder="1" applyAlignment="1">
      <alignment horizontal="center"/>
    </xf>
    <xf numFmtId="174" fontId="1" fillId="0" borderId="0" xfId="10" applyNumberFormat="1" applyAlignment="1">
      <alignment horizontal="center"/>
    </xf>
    <xf numFmtId="5" fontId="29" fillId="0" borderId="0" xfId="11" applyNumberFormat="1" applyFont="1" applyFill="1" applyBorder="1" applyAlignment="1">
      <alignment horizontal="center"/>
    </xf>
    <xf numFmtId="173" fontId="29" fillId="0" borderId="77" xfId="11" applyNumberFormat="1" applyFont="1" applyBorder="1" applyAlignment="1">
      <alignment horizontal="center"/>
    </xf>
    <xf numFmtId="173" fontId="29" fillId="0" borderId="77" xfId="11" applyNumberFormat="1" applyFont="1" applyBorder="1"/>
    <xf numFmtId="37" fontId="0" fillId="11" borderId="0" xfId="11" applyNumberFormat="1" applyFont="1" applyFill="1" applyBorder="1" applyAlignment="1">
      <alignment horizontal="center"/>
    </xf>
    <xf numFmtId="0" fontId="29" fillId="0" borderId="78" xfId="10" applyFont="1" applyBorder="1"/>
    <xf numFmtId="0" fontId="29" fillId="0" borderId="79" xfId="10" applyFont="1" applyBorder="1"/>
    <xf numFmtId="0" fontId="1" fillId="0" borderId="78" xfId="10" applyBorder="1"/>
    <xf numFmtId="0" fontId="1" fillId="0" borderId="79" xfId="10" applyBorder="1"/>
    <xf numFmtId="7" fontId="1" fillId="0" borderId="0" xfId="10" applyNumberFormat="1"/>
    <xf numFmtId="22" fontId="1" fillId="0" borderId="0" xfId="10" applyNumberFormat="1"/>
    <xf numFmtId="4" fontId="1" fillId="0" borderId="0" xfId="10" applyNumberFormat="1"/>
    <xf numFmtId="14" fontId="29" fillId="11" borderId="0" xfId="10" applyNumberFormat="1" applyFont="1" applyFill="1"/>
    <xf numFmtId="0" fontId="1" fillId="11" borderId="0" xfId="10" applyFill="1"/>
    <xf numFmtId="4" fontId="1" fillId="11" borderId="0" xfId="10" applyNumberFormat="1" applyFill="1"/>
    <xf numFmtId="1" fontId="29" fillId="11" borderId="0" xfId="10" applyNumberFormat="1" applyFont="1" applyFill="1" applyAlignment="1">
      <alignment horizontal="center"/>
    </xf>
    <xf numFmtId="0" fontId="29" fillId="0" borderId="80" xfId="10" applyFont="1" applyBorder="1" applyAlignment="1">
      <alignment horizontal="center"/>
    </xf>
    <xf numFmtId="0" fontId="29" fillId="0" borderId="45" xfId="10" applyFont="1" applyBorder="1" applyAlignment="1">
      <alignment horizontal="center"/>
    </xf>
    <xf numFmtId="4" fontId="29" fillId="0" borderId="45" xfId="10" applyNumberFormat="1" applyFont="1" applyBorder="1" applyAlignment="1">
      <alignment horizontal="center"/>
    </xf>
    <xf numFmtId="4" fontId="29" fillId="0" borderId="81" xfId="10" applyNumberFormat="1" applyFont="1" applyBorder="1" applyAlignment="1">
      <alignment horizontal="center"/>
    </xf>
    <xf numFmtId="0" fontId="1" fillId="0" borderId="82" xfId="10" applyBorder="1"/>
    <xf numFmtId="1" fontId="1" fillId="0" borderId="83" xfId="10" applyNumberFormat="1" applyBorder="1" applyAlignment="1">
      <alignment horizontal="center"/>
    </xf>
    <xf numFmtId="0" fontId="1" fillId="11" borderId="83" xfId="10" applyFill="1" applyBorder="1" applyAlignment="1">
      <alignment horizontal="center"/>
    </xf>
    <xf numFmtId="7" fontId="1" fillId="11" borderId="83" xfId="10" applyNumberFormat="1" applyFill="1" applyBorder="1" applyAlignment="1">
      <alignment horizontal="center"/>
    </xf>
    <xf numFmtId="5" fontId="1" fillId="0" borderId="84" xfId="10" applyNumberFormat="1" applyBorder="1" applyAlignment="1">
      <alignment horizontal="center"/>
    </xf>
    <xf numFmtId="0" fontId="1" fillId="0" borderId="85" xfId="10" applyBorder="1"/>
    <xf numFmtId="1" fontId="1" fillId="0" borderId="1" xfId="10" applyNumberFormat="1" applyBorder="1" applyAlignment="1">
      <alignment horizontal="center"/>
    </xf>
    <xf numFmtId="0" fontId="1" fillId="11" borderId="1" xfId="10" applyFill="1" applyBorder="1" applyAlignment="1">
      <alignment horizontal="center"/>
    </xf>
    <xf numFmtId="7" fontId="1" fillId="11" borderId="1" xfId="10" applyNumberFormat="1" applyFill="1" applyBorder="1" applyAlignment="1">
      <alignment horizontal="center"/>
    </xf>
    <xf numFmtId="5" fontId="1" fillId="0" borderId="86" xfId="10" applyNumberFormat="1" applyBorder="1" applyAlignment="1">
      <alignment horizontal="center"/>
    </xf>
    <xf numFmtId="0" fontId="1" fillId="0" borderId="87" xfId="10" applyBorder="1" applyAlignment="1">
      <alignment wrapText="1"/>
    </xf>
    <xf numFmtId="1" fontId="1" fillId="0" borderId="88" xfId="10" applyNumberFormat="1" applyBorder="1" applyAlignment="1">
      <alignment horizontal="center"/>
    </xf>
    <xf numFmtId="0" fontId="1" fillId="11" borderId="88" xfId="10" applyFill="1" applyBorder="1" applyAlignment="1">
      <alignment horizontal="center"/>
    </xf>
    <xf numFmtId="7" fontId="1" fillId="11" borderId="88" xfId="10" applyNumberFormat="1" applyFill="1" applyBorder="1" applyAlignment="1">
      <alignment horizontal="center"/>
    </xf>
    <xf numFmtId="5" fontId="1" fillId="0" borderId="89" xfId="10" applyNumberFormat="1" applyBorder="1" applyAlignment="1">
      <alignment horizontal="center"/>
    </xf>
    <xf numFmtId="0" fontId="29" fillId="0" borderId="70" xfId="10" applyFont="1" applyBorder="1" applyAlignment="1">
      <alignment horizontal="center"/>
    </xf>
    <xf numFmtId="4" fontId="29" fillId="0" borderId="70" xfId="10" applyNumberFormat="1" applyFont="1" applyBorder="1" applyAlignment="1">
      <alignment horizontal="center"/>
    </xf>
    <xf numFmtId="5" fontId="29" fillId="0" borderId="71" xfId="10" applyNumberFormat="1" applyFont="1" applyBorder="1" applyAlignment="1">
      <alignment horizontal="center"/>
    </xf>
    <xf numFmtId="0" fontId="29" fillId="0" borderId="73" xfId="10" applyFont="1" applyBorder="1"/>
    <xf numFmtId="0" fontId="29" fillId="0" borderId="74" xfId="10" applyFont="1" applyBorder="1"/>
    <xf numFmtId="4" fontId="29" fillId="0" borderId="74" xfId="10" applyNumberFormat="1" applyFont="1" applyBorder="1"/>
    <xf numFmtId="5" fontId="29" fillId="0" borderId="90" xfId="10" applyNumberFormat="1" applyFont="1" applyBorder="1" applyAlignment="1">
      <alignment horizontal="center"/>
    </xf>
    <xf numFmtId="4" fontId="29" fillId="0" borderId="0" xfId="10" applyNumberFormat="1" applyFont="1"/>
    <xf numFmtId="5" fontId="29" fillId="0" borderId="91" xfId="10" applyNumberFormat="1" applyFont="1" applyBorder="1" applyAlignment="1">
      <alignment horizontal="center"/>
    </xf>
    <xf numFmtId="4" fontId="1" fillId="0" borderId="91" xfId="10" applyNumberFormat="1" applyBorder="1"/>
    <xf numFmtId="4" fontId="29" fillId="0" borderId="79" xfId="10" applyNumberFormat="1" applyFont="1" applyBorder="1"/>
    <xf numFmtId="5" fontId="29" fillId="0" borderId="92" xfId="10" applyNumberFormat="1" applyFont="1" applyBorder="1" applyAlignment="1">
      <alignment horizontal="center"/>
    </xf>
    <xf numFmtId="5" fontId="29" fillId="0" borderId="0" xfId="10" applyNumberFormat="1" applyFont="1" applyAlignment="1">
      <alignment horizontal="center"/>
    </xf>
    <xf numFmtId="0" fontId="31" fillId="0" borderId="0" xfId="12" applyProtection="1">
      <protection locked="0"/>
    </xf>
    <xf numFmtId="9" fontId="4" fillId="0" borderId="1" xfId="2" applyFont="1" applyBorder="1" applyAlignment="1" applyProtection="1">
      <alignment horizontal="center"/>
      <protection locked="0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14" fontId="0" fillId="0" borderId="5" xfId="0" applyNumberFormat="1" applyBorder="1" applyAlignment="1">
      <alignment horizontal="left"/>
    </xf>
    <xf numFmtId="14" fontId="0" fillId="0" borderId="12" xfId="0" applyNumberFormat="1" applyBorder="1" applyAlignment="1">
      <alignment horizontal="left"/>
    </xf>
    <xf numFmtId="10" fontId="0" fillId="0" borderId="93" xfId="2" applyNumberFormat="1" applyFont="1" applyBorder="1" applyProtection="1"/>
    <xf numFmtId="10" fontId="19" fillId="0" borderId="61" xfId="2" applyNumberFormat="1" applyFont="1" applyBorder="1" applyAlignment="1">
      <alignment horizontal="center"/>
    </xf>
    <xf numFmtId="10" fontId="0" fillId="0" borderId="61" xfId="2" applyNumberFormat="1" applyFont="1" applyBorder="1" applyAlignment="1" applyProtection="1">
      <alignment horizontal="center"/>
    </xf>
    <xf numFmtId="0" fontId="5" fillId="0" borderId="24" xfId="0" applyFont="1" applyBorder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0" borderId="25" xfId="0" applyFont="1" applyBorder="1" applyAlignment="1" applyProtection="1">
      <alignment horizontal="left"/>
      <protection locked="0"/>
    </xf>
    <xf numFmtId="6" fontId="0" fillId="0" borderId="24" xfId="0" applyNumberFormat="1" applyBorder="1" applyAlignment="1" applyProtection="1">
      <alignment horizontal="left"/>
      <protection locked="0"/>
    </xf>
    <xf numFmtId="10" fontId="0" fillId="0" borderId="25" xfId="0" applyNumberFormat="1" applyBorder="1" applyAlignment="1" applyProtection="1">
      <alignment horizontal="left"/>
      <protection locked="0"/>
    </xf>
    <xf numFmtId="6" fontId="0" fillId="0" borderId="26" xfId="0" applyNumberFormat="1" applyBorder="1" applyAlignment="1" applyProtection="1">
      <alignment horizontal="left"/>
      <protection locked="0"/>
    </xf>
    <xf numFmtId="6" fontId="0" fillId="0" borderId="33" xfId="0" applyNumberFormat="1" applyBorder="1" applyAlignment="1" applyProtection="1">
      <alignment horizontal="left"/>
      <protection locked="0"/>
    </xf>
    <xf numFmtId="10" fontId="0" fillId="0" borderId="27" xfId="0" applyNumberFormat="1" applyBorder="1" applyAlignment="1" applyProtection="1">
      <alignment horizontal="left"/>
      <protection locked="0"/>
    </xf>
    <xf numFmtId="5" fontId="8" fillId="10" borderId="32" xfId="0" applyNumberFormat="1" applyFont="1" applyFill="1" applyBorder="1" applyAlignment="1">
      <alignment horizontal="center"/>
    </xf>
    <xf numFmtId="0" fontId="20" fillId="10" borderId="67" xfId="0" applyFont="1" applyFill="1" applyBorder="1" applyAlignment="1" applyProtection="1">
      <alignment horizontal="center"/>
      <protection locked="0"/>
    </xf>
    <xf numFmtId="167" fontId="0" fillId="0" borderId="61" xfId="1" applyNumberFormat="1" applyFont="1" applyBorder="1" applyAlignment="1" applyProtection="1">
      <alignment horizontal="center"/>
      <protection locked="0"/>
    </xf>
    <xf numFmtId="5" fontId="8" fillId="3" borderId="61" xfId="0" applyNumberFormat="1" applyFont="1" applyFill="1" applyBorder="1" applyAlignment="1" applyProtection="1">
      <alignment horizontal="center"/>
      <protection locked="0"/>
    </xf>
    <xf numFmtId="7" fontId="8" fillId="3" borderId="21" xfId="0" applyNumberFormat="1" applyFont="1" applyFill="1" applyBorder="1" applyAlignment="1" applyProtection="1">
      <alignment horizontal="center"/>
      <protection locked="0"/>
    </xf>
    <xf numFmtId="5" fontId="8" fillId="3" borderId="22" xfId="0" applyNumberFormat="1" applyFont="1" applyFill="1" applyBorder="1" applyAlignment="1" applyProtection="1">
      <alignment horizontal="center"/>
      <protection locked="0"/>
    </xf>
    <xf numFmtId="7" fontId="5" fillId="0" borderId="0" xfId="0" applyNumberFormat="1" applyFont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14" fontId="12" fillId="0" borderId="32" xfId="0" applyNumberFormat="1" applyFont="1" applyBorder="1" applyAlignment="1">
      <alignment horizontal="right"/>
    </xf>
    <xf numFmtId="0" fontId="0" fillId="0" borderId="61" xfId="0" applyBorder="1" applyAlignment="1">
      <alignment horizontal="center"/>
    </xf>
    <xf numFmtId="0" fontId="20" fillId="2" borderId="27" xfId="0" applyFont="1" applyFill="1" applyBorder="1" applyAlignment="1" applyProtection="1">
      <alignment vertical="center"/>
      <protection locked="0"/>
    </xf>
    <xf numFmtId="0" fontId="20" fillId="2" borderId="33" xfId="0" applyFont="1" applyFill="1" applyBorder="1" applyAlignment="1" applyProtection="1">
      <alignment vertical="center"/>
      <protection locked="0"/>
    </xf>
    <xf numFmtId="0" fontId="20" fillId="2" borderId="26" xfId="0" applyFont="1" applyFill="1" applyBorder="1" applyAlignment="1" applyProtection="1">
      <alignment vertical="center"/>
      <protection locked="0"/>
    </xf>
    <xf numFmtId="0" fontId="17" fillId="2" borderId="25" xfId="0" applyFont="1" applyFill="1" applyBorder="1" applyAlignment="1" applyProtection="1">
      <alignment vertical="center"/>
      <protection locked="0"/>
    </xf>
    <xf numFmtId="0" fontId="17" fillId="2" borderId="0" xfId="0" applyFont="1" applyFill="1" applyAlignment="1" applyProtection="1">
      <alignment vertical="center"/>
      <protection locked="0"/>
    </xf>
    <xf numFmtId="0" fontId="17" fillId="2" borderId="24" xfId="0" applyFont="1" applyFill="1" applyBorder="1" applyAlignment="1" applyProtection="1">
      <alignment vertical="center"/>
      <protection locked="0"/>
    </xf>
    <xf numFmtId="0" fontId="17" fillId="2" borderId="27" xfId="0" applyFont="1" applyFill="1" applyBorder="1" applyAlignment="1" applyProtection="1">
      <alignment vertical="center"/>
      <protection locked="0"/>
    </xf>
    <xf numFmtId="0" fontId="17" fillId="2" borderId="33" xfId="0" applyFont="1" applyFill="1" applyBorder="1" applyAlignment="1" applyProtection="1">
      <alignment vertical="center"/>
      <protection locked="0"/>
    </xf>
    <xf numFmtId="0" fontId="17" fillId="2" borderId="26" xfId="0" applyFont="1" applyFill="1" applyBorder="1" applyAlignment="1" applyProtection="1">
      <alignment vertical="center"/>
      <protection locked="0"/>
    </xf>
    <xf numFmtId="0" fontId="20" fillId="2" borderId="25" xfId="0" applyFont="1" applyFill="1" applyBorder="1" applyAlignment="1" applyProtection="1">
      <alignment vertical="center"/>
      <protection locked="0"/>
    </xf>
    <xf numFmtId="0" fontId="20" fillId="2" borderId="0" xfId="0" applyFont="1" applyFill="1" applyAlignment="1" applyProtection="1">
      <alignment vertical="center"/>
      <protection locked="0"/>
    </xf>
    <xf numFmtId="0" fontId="20" fillId="2" borderId="24" xfId="0" applyFont="1" applyFill="1" applyBorder="1" applyAlignment="1" applyProtection="1">
      <alignment vertical="center"/>
      <protection locked="0"/>
    </xf>
    <xf numFmtId="0" fontId="33" fillId="2" borderId="0" xfId="0" applyFont="1" applyFill="1" applyAlignment="1" applyProtection="1">
      <alignment horizontal="center" vertical="center"/>
      <protection locked="0"/>
    </xf>
    <xf numFmtId="0" fontId="20" fillId="2" borderId="23" xfId="0" applyFont="1" applyFill="1" applyBorder="1" applyAlignment="1" applyProtection="1">
      <alignment vertical="center"/>
      <protection locked="0"/>
    </xf>
    <xf numFmtId="0" fontId="20" fillId="2" borderId="32" xfId="0" applyFont="1" applyFill="1" applyBorder="1" applyAlignment="1" applyProtection="1">
      <alignment vertical="center"/>
      <protection locked="0"/>
    </xf>
    <xf numFmtId="0" fontId="20" fillId="2" borderId="6" xfId="0" applyFont="1" applyFill="1" applyBorder="1" applyAlignment="1" applyProtection="1">
      <alignment vertical="center"/>
      <protection locked="0"/>
    </xf>
    <xf numFmtId="0" fontId="20" fillId="10" borderId="94" xfId="0" applyFont="1" applyFill="1" applyBorder="1" applyAlignment="1" applyProtection="1">
      <alignment horizontal="center"/>
      <protection locked="0"/>
    </xf>
    <xf numFmtId="0" fontId="20" fillId="10" borderId="95" xfId="0" applyFont="1" applyFill="1" applyBorder="1" applyAlignment="1" applyProtection="1">
      <alignment horizontal="center"/>
      <protection locked="0"/>
    </xf>
    <xf numFmtId="0" fontId="32" fillId="2" borderId="24" xfId="0" applyFont="1" applyFill="1" applyBorder="1" applyAlignment="1" applyProtection="1">
      <alignment vertical="center" wrapText="1"/>
      <protection locked="0"/>
    </xf>
    <xf numFmtId="0" fontId="32" fillId="2" borderId="0" xfId="0" applyFont="1" applyFill="1" applyAlignment="1" applyProtection="1">
      <alignment vertical="center"/>
      <protection locked="0"/>
    </xf>
    <xf numFmtId="0" fontId="32" fillId="2" borderId="25" xfId="0" applyFont="1" applyFill="1" applyBorder="1" applyAlignment="1" applyProtection="1">
      <alignment vertical="center"/>
      <protection locked="0"/>
    </xf>
    <xf numFmtId="0" fontId="32" fillId="2" borderId="24" xfId="0" applyFont="1" applyFill="1" applyBorder="1" applyAlignment="1" applyProtection="1">
      <alignment vertical="center"/>
      <protection locked="0"/>
    </xf>
    <xf numFmtId="0" fontId="17" fillId="2" borderId="6" xfId="0" applyFont="1" applyFill="1" applyBorder="1" applyAlignment="1" applyProtection="1">
      <alignment vertical="center"/>
      <protection locked="0"/>
    </xf>
    <xf numFmtId="0" fontId="17" fillId="2" borderId="32" xfId="0" applyFont="1" applyFill="1" applyBorder="1" applyAlignment="1" applyProtection="1">
      <alignment vertical="center"/>
      <protection locked="0"/>
    </xf>
    <xf numFmtId="0" fontId="17" fillId="2" borderId="23" xfId="0" applyFont="1" applyFill="1" applyBorder="1" applyAlignment="1" applyProtection="1">
      <alignment vertical="center"/>
      <protection locked="0"/>
    </xf>
    <xf numFmtId="0" fontId="32" fillId="2" borderId="0" xfId="0" applyFont="1" applyFill="1" applyAlignment="1" applyProtection="1">
      <alignment vertical="center" wrapText="1"/>
      <protection locked="0"/>
    </xf>
    <xf numFmtId="0" fontId="32" fillId="2" borderId="25" xfId="0" applyFont="1" applyFill="1" applyBorder="1" applyAlignment="1" applyProtection="1">
      <alignment vertical="center" wrapText="1"/>
      <protection locked="0"/>
    </xf>
    <xf numFmtId="7" fontId="8" fillId="3" borderId="10" xfId="0" applyNumberFormat="1" applyFont="1" applyFill="1" applyBorder="1" applyAlignment="1">
      <alignment horizontal="center"/>
    </xf>
    <xf numFmtId="10" fontId="8" fillId="3" borderId="22" xfId="0" applyNumberFormat="1" applyFont="1" applyFill="1" applyBorder="1" applyAlignment="1">
      <alignment horizontal="center"/>
    </xf>
    <xf numFmtId="2" fontId="0" fillId="6" borderId="12" xfId="0" applyNumberFormat="1" applyFill="1" applyBorder="1" applyAlignment="1" applyProtection="1">
      <alignment horizontal="center"/>
      <protection locked="0"/>
    </xf>
    <xf numFmtId="175" fontId="0" fillId="6" borderId="5" xfId="0" applyNumberFormat="1" applyFill="1" applyBorder="1" applyAlignment="1" applyProtection="1">
      <alignment horizontal="left"/>
      <protection locked="0"/>
    </xf>
    <xf numFmtId="167" fontId="0" fillId="6" borderId="61" xfId="1" applyNumberFormat="1" applyFont="1" applyFill="1" applyBorder="1" applyAlignment="1" applyProtection="1">
      <alignment horizontal="center"/>
      <protection locked="0"/>
    </xf>
    <xf numFmtId="5" fontId="0" fillId="6" borderId="93" xfId="0" applyNumberFormat="1" applyFill="1" applyBorder="1"/>
    <xf numFmtId="172" fontId="0" fillId="0" borderId="0" xfId="2" applyNumberFormat="1" applyFont="1" applyProtection="1">
      <protection locked="0"/>
    </xf>
    <xf numFmtId="2" fontId="0" fillId="6" borderId="3" xfId="0" applyNumberFormat="1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left"/>
      <protection locked="0"/>
    </xf>
    <xf numFmtId="169" fontId="0" fillId="6" borderId="3" xfId="0" applyNumberFormat="1" applyFill="1" applyBorder="1" applyAlignment="1" applyProtection="1">
      <alignment horizontal="left"/>
      <protection locked="0"/>
    </xf>
    <xf numFmtId="0" fontId="0" fillId="6" borderId="12" xfId="0" applyFill="1" applyBorder="1" applyAlignment="1" applyProtection="1">
      <alignment horizontal="left"/>
      <protection locked="0"/>
    </xf>
    <xf numFmtId="0" fontId="35" fillId="0" borderId="1" xfId="0" applyFont="1" applyBorder="1" applyProtection="1">
      <protection locked="0"/>
    </xf>
    <xf numFmtId="0" fontId="35" fillId="0" borderId="1" xfId="0" applyFont="1" applyBorder="1" applyAlignment="1" applyProtection="1">
      <alignment horizontal="center"/>
      <protection locked="0"/>
    </xf>
    <xf numFmtId="176" fontId="29" fillId="0" borderId="1" xfId="13" applyNumberFormat="1" applyFont="1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35" fillId="0" borderId="1" xfId="0" applyFont="1" applyBorder="1" applyAlignment="1" applyProtection="1">
      <alignment horizontal="left"/>
      <protection locked="0"/>
    </xf>
    <xf numFmtId="3" fontId="34" fillId="12" borderId="1" xfId="14" applyNumberFormat="1" applyBorder="1"/>
    <xf numFmtId="176" fontId="29" fillId="0" borderId="1" xfId="13" applyNumberFormat="1" applyFont="1" applyFill="1" applyBorder="1" applyAlignment="1" applyProtection="1">
      <alignment horizontal="center"/>
    </xf>
    <xf numFmtId="0" fontId="35" fillId="0" borderId="1" xfId="0" applyFont="1" applyBorder="1" applyAlignment="1">
      <alignment horizontal="center"/>
    </xf>
    <xf numFmtId="0" fontId="35" fillId="0" borderId="1" xfId="0" applyFont="1" applyBorder="1" applyAlignment="1" applyProtection="1">
      <alignment horizontal="right"/>
      <protection locked="0"/>
    </xf>
    <xf numFmtId="10" fontId="34" fillId="12" borderId="1" xfId="14" applyNumberFormat="1" applyBorder="1"/>
    <xf numFmtId="0" fontId="0" fillId="0" borderId="1" xfId="0" applyBorder="1" applyProtection="1">
      <protection locked="0"/>
    </xf>
    <xf numFmtId="5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left" indent="1"/>
      <protection locked="0"/>
    </xf>
    <xf numFmtId="0" fontId="25" fillId="0" borderId="1" xfId="0" applyFont="1" applyBorder="1"/>
    <xf numFmtId="0" fontId="0" fillId="0" borderId="1" xfId="0" quotePrefix="1" applyBorder="1" applyProtection="1">
      <protection locked="0"/>
    </xf>
    <xf numFmtId="3" fontId="0" fillId="6" borderId="1" xfId="0" applyNumberFormat="1" applyFill="1" applyBorder="1" applyProtection="1">
      <protection locked="0"/>
    </xf>
    <xf numFmtId="10" fontId="0" fillId="0" borderId="1" xfId="2" applyNumberFormat="1" applyFont="1" applyFill="1" applyBorder="1" applyProtection="1">
      <protection locked="0"/>
    </xf>
    <xf numFmtId="3" fontId="34" fillId="12" borderId="1" xfId="14" applyNumberFormat="1" applyBorder="1" applyAlignment="1">
      <alignment horizontal="right"/>
    </xf>
    <xf numFmtId="49" fontId="0" fillId="0" borderId="1" xfId="0" quotePrefix="1" applyNumberFormat="1" applyBorder="1" applyAlignment="1" applyProtection="1">
      <alignment horizontal="left"/>
      <protection locked="0"/>
    </xf>
    <xf numFmtId="9" fontId="0" fillId="0" borderId="0" xfId="2" applyFont="1" applyAlignment="1" applyProtection="1">
      <alignment horizontal="left"/>
      <protection locked="0"/>
    </xf>
    <xf numFmtId="177" fontId="12" fillId="0" borderId="38" xfId="0" applyNumberFormat="1" applyFont="1" applyBorder="1" applyAlignment="1">
      <alignment horizontal="center"/>
    </xf>
    <xf numFmtId="17" fontId="0" fillId="0" borderId="19" xfId="0" quotePrefix="1" applyNumberFormat="1" applyBorder="1" applyAlignment="1" applyProtection="1">
      <alignment horizontal="center"/>
      <protection locked="0"/>
    </xf>
    <xf numFmtId="167" fontId="0" fillId="0" borderId="0" xfId="0" applyNumberFormat="1" applyProtection="1">
      <protection locked="0"/>
    </xf>
    <xf numFmtId="42" fontId="0" fillId="6" borderId="5" xfId="0" applyNumberFormat="1" applyFill="1" applyBorder="1" applyProtection="1">
      <protection locked="0"/>
    </xf>
    <xf numFmtId="0" fontId="20" fillId="10" borderId="6" xfId="0" applyFont="1" applyFill="1" applyBorder="1" applyAlignment="1" applyProtection="1">
      <alignment horizontal="center"/>
      <protection locked="0"/>
    </xf>
    <xf numFmtId="0" fontId="20" fillId="10" borderId="100" xfId="0" applyFont="1" applyFill="1" applyBorder="1" applyAlignment="1" applyProtection="1">
      <alignment horizontal="center"/>
      <protection locked="0"/>
    </xf>
    <xf numFmtId="0" fontId="20" fillId="10" borderId="100" xfId="0" applyFont="1" applyFill="1" applyBorder="1" applyAlignment="1" applyProtection="1">
      <alignment horizontal="center" wrapText="1"/>
      <protection locked="0"/>
    </xf>
    <xf numFmtId="0" fontId="20" fillId="10" borderId="101" xfId="0" applyFont="1" applyFill="1" applyBorder="1" applyAlignment="1" applyProtection="1">
      <alignment horizontal="center"/>
      <protection locked="0"/>
    </xf>
    <xf numFmtId="14" fontId="12" fillId="0" borderId="32" xfId="0" applyNumberFormat="1" applyFont="1" applyBorder="1" applyAlignment="1" applyProtection="1">
      <alignment horizontal="left"/>
      <protection locked="0"/>
    </xf>
    <xf numFmtId="7" fontId="0" fillId="0" borderId="5" xfId="1" applyNumberFormat="1" applyFont="1" applyFill="1" applyBorder="1" applyAlignment="1" applyProtection="1">
      <alignment horizontal="center"/>
      <protection locked="0"/>
    </xf>
    <xf numFmtId="168" fontId="0" fillId="0" borderId="1" xfId="0" applyNumberFormat="1" applyBorder="1" applyAlignment="1" applyProtection="1">
      <alignment horizontal="center"/>
      <protection locked="0"/>
    </xf>
    <xf numFmtId="7" fontId="0" fillId="0" borderId="1" xfId="1" applyNumberFormat="1" applyFont="1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11" xfId="0" applyBorder="1" applyProtection="1">
      <protection locked="0"/>
    </xf>
    <xf numFmtId="168" fontId="0" fillId="0" borderId="11" xfId="0" applyNumberFormat="1" applyBorder="1" applyAlignment="1" applyProtection="1">
      <alignment horizontal="center"/>
      <protection locked="0"/>
    </xf>
    <xf numFmtId="7" fontId="0" fillId="0" borderId="11" xfId="1" applyNumberFormat="1" applyFont="1" applyFill="1" applyBorder="1" applyAlignment="1" applyProtection="1">
      <alignment horizontal="center"/>
      <protection locked="0"/>
    </xf>
    <xf numFmtId="7" fontId="0" fillId="0" borderId="5" xfId="0" applyNumberFormat="1" applyBorder="1" applyProtection="1">
      <protection locked="0"/>
    </xf>
    <xf numFmtId="7" fontId="0" fillId="0" borderId="12" xfId="0" applyNumberFormat="1" applyBorder="1" applyProtection="1">
      <protection locked="0"/>
    </xf>
    <xf numFmtId="0" fontId="20" fillId="10" borderId="14" xfId="0" applyFont="1" applyFill="1" applyBorder="1" applyAlignment="1" applyProtection="1">
      <alignment horizontal="center"/>
      <protection locked="0"/>
    </xf>
    <xf numFmtId="14" fontId="0" fillId="0" borderId="0" xfId="0" quotePrefix="1" applyNumberFormat="1" applyProtection="1">
      <protection locked="0"/>
    </xf>
    <xf numFmtId="178" fontId="12" fillId="0" borderId="0" xfId="0" applyNumberFormat="1" applyFont="1" applyProtection="1">
      <protection locked="0"/>
    </xf>
    <xf numFmtId="0" fontId="0" fillId="13" borderId="35" xfId="0" applyFill="1" applyBorder="1" applyProtection="1">
      <protection locked="0"/>
    </xf>
    <xf numFmtId="0" fontId="8" fillId="13" borderId="34" xfId="0" applyFont="1" applyFill="1" applyBorder="1" applyProtection="1">
      <protection locked="0"/>
    </xf>
    <xf numFmtId="0" fontId="20" fillId="0" borderId="25" xfId="0" applyFont="1" applyBorder="1" applyProtection="1">
      <protection locked="0"/>
    </xf>
    <xf numFmtId="7" fontId="0" fillId="0" borderId="25" xfId="1" applyNumberFormat="1" applyFont="1" applyFill="1" applyBorder="1" applyAlignment="1" applyProtection="1">
      <alignment horizontal="center"/>
      <protection locked="0"/>
    </xf>
    <xf numFmtId="7" fontId="8" fillId="4" borderId="26" xfId="0" applyNumberFormat="1" applyFont="1" applyFill="1" applyBorder="1" applyProtection="1">
      <protection locked="0"/>
    </xf>
    <xf numFmtId="9" fontId="8" fillId="4" borderId="18" xfId="2" applyFont="1" applyFill="1" applyBorder="1" applyProtection="1">
      <protection locked="0"/>
    </xf>
    <xf numFmtId="9" fontId="5" fillId="0" borderId="15" xfId="0" applyNumberFormat="1" applyFont="1" applyBorder="1" applyProtection="1">
      <protection locked="0"/>
    </xf>
    <xf numFmtId="7" fontId="5" fillId="0" borderId="12" xfId="1" applyNumberFormat="1" applyFont="1" applyFill="1" applyBorder="1" applyAlignment="1" applyProtection="1">
      <alignment horizontal="center"/>
      <protection locked="0"/>
    </xf>
    <xf numFmtId="14" fontId="5" fillId="0" borderId="0" xfId="0" applyNumberFormat="1" applyFont="1" applyProtection="1">
      <protection locked="0"/>
    </xf>
    <xf numFmtId="0" fontId="20" fillId="10" borderId="6" xfId="0" applyFont="1" applyFill="1" applyBorder="1" applyAlignment="1" applyProtection="1">
      <alignment horizontal="left"/>
      <protection locked="0"/>
    </xf>
    <xf numFmtId="0" fontId="20" fillId="10" borderId="32" xfId="0" applyFont="1" applyFill="1" applyBorder="1" applyAlignment="1" applyProtection="1">
      <alignment horizontal="left"/>
      <protection locked="0"/>
    </xf>
    <xf numFmtId="0" fontId="8" fillId="3" borderId="26" xfId="0" applyFont="1" applyFill="1" applyBorder="1" applyProtection="1">
      <protection locked="0"/>
    </xf>
    <xf numFmtId="0" fontId="8" fillId="3" borderId="33" xfId="0" applyFont="1" applyFill="1" applyBorder="1" applyAlignment="1" applyProtection="1">
      <alignment horizontal="right"/>
      <protection locked="0"/>
    </xf>
    <xf numFmtId="7" fontId="8" fillId="13" borderId="27" xfId="0" applyNumberFormat="1" applyFont="1" applyFill="1" applyBorder="1" applyProtection="1">
      <protection locked="0"/>
    </xf>
    <xf numFmtId="0" fontId="20" fillId="10" borderId="32" xfId="0" applyFont="1" applyFill="1" applyBorder="1" applyAlignment="1" applyProtection="1">
      <alignment horizontal="center"/>
      <protection locked="0"/>
    </xf>
    <xf numFmtId="0" fontId="20" fillId="10" borderId="32" xfId="0" applyFont="1" applyFill="1" applyBorder="1" applyAlignment="1" applyProtection="1">
      <alignment horizontal="center" wrapText="1"/>
      <protection locked="0"/>
    </xf>
    <xf numFmtId="0" fontId="20" fillId="10" borderId="23" xfId="0" applyFont="1" applyFill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horizontal="center"/>
      <protection locked="0"/>
    </xf>
    <xf numFmtId="0" fontId="20" fillId="10" borderId="16" xfId="0" applyFont="1" applyFill="1" applyBorder="1" applyAlignment="1" applyProtection="1">
      <alignment horizontal="left"/>
      <protection locked="0"/>
    </xf>
    <xf numFmtId="0" fontId="20" fillId="10" borderId="96" xfId="0" applyFont="1" applyFill="1" applyBorder="1" applyAlignment="1" applyProtection="1">
      <alignment horizontal="left"/>
      <protection locked="0"/>
    </xf>
    <xf numFmtId="7" fontId="37" fillId="10" borderId="23" xfId="0" applyNumberFormat="1" applyFont="1" applyFill="1" applyBorder="1" applyAlignment="1" applyProtection="1">
      <alignment horizontal="left"/>
      <protection locked="0"/>
    </xf>
    <xf numFmtId="7" fontId="37" fillId="10" borderId="3" xfId="0" applyNumberFormat="1" applyFont="1" applyFill="1" applyBorder="1" applyAlignment="1" applyProtection="1">
      <alignment horizontal="left"/>
      <protection locked="0"/>
    </xf>
    <xf numFmtId="0" fontId="38" fillId="0" borderId="0" xfId="0" applyFont="1" applyProtection="1">
      <protection locked="0"/>
    </xf>
    <xf numFmtId="7" fontId="0" fillId="0" borderId="88" xfId="1" applyNumberFormat="1" applyFont="1" applyFill="1" applyBorder="1" applyAlignment="1" applyProtection="1">
      <alignment horizontal="center"/>
      <protection locked="0"/>
    </xf>
    <xf numFmtId="7" fontId="0" fillId="0" borderId="21" xfId="0" applyNumberFormat="1" applyBorder="1" applyProtection="1">
      <protection locked="0"/>
    </xf>
    <xf numFmtId="7" fontId="8" fillId="13" borderId="14" xfId="0" applyNumberFormat="1" applyFont="1" applyFill="1" applyBorder="1" applyProtection="1">
      <protection locked="0"/>
    </xf>
    <xf numFmtId="7" fontId="8" fillId="13" borderId="15" xfId="0" applyNumberFormat="1" applyFont="1" applyFill="1" applyBorder="1" applyProtection="1">
      <protection locked="0"/>
    </xf>
    <xf numFmtId="0" fontId="11" fillId="0" borderId="0" xfId="0" applyFont="1" applyAlignment="1">
      <alignment vertical="center"/>
    </xf>
    <xf numFmtId="0" fontId="5" fillId="0" borderId="93" xfId="0" applyFont="1" applyBorder="1" applyProtection="1">
      <protection locked="0"/>
    </xf>
    <xf numFmtId="4" fontId="19" fillId="7" borderId="1" xfId="0" applyNumberFormat="1" applyFont="1" applyFill="1" applyBorder="1" applyAlignment="1" applyProtection="1">
      <alignment horizontal="center"/>
      <protection locked="0"/>
    </xf>
    <xf numFmtId="4" fontId="19" fillId="8" borderId="1" xfId="0" applyNumberFormat="1" applyFont="1" applyFill="1" applyBorder="1" applyAlignment="1" applyProtection="1">
      <alignment horizontal="center"/>
      <protection locked="0"/>
    </xf>
    <xf numFmtId="4" fontId="19" fillId="9" borderId="1" xfId="0" applyNumberFormat="1" applyFont="1" applyFill="1" applyBorder="1" applyAlignment="1" applyProtection="1">
      <alignment horizontal="center"/>
      <protection locked="0"/>
    </xf>
    <xf numFmtId="0" fontId="20" fillId="10" borderId="67" xfId="0" applyFont="1" applyFill="1" applyBorder="1" applyAlignment="1" applyProtection="1">
      <alignment horizontal="center"/>
      <protection locked="0"/>
    </xf>
    <xf numFmtId="0" fontId="20" fillId="10" borderId="68" xfId="0" applyFont="1" applyFill="1" applyBorder="1" applyAlignment="1" applyProtection="1">
      <alignment horizontal="center"/>
      <protection locked="0"/>
    </xf>
    <xf numFmtId="0" fontId="20" fillId="10" borderId="13" xfId="0" applyFont="1" applyFill="1" applyBorder="1" applyAlignment="1" applyProtection="1">
      <alignment horizontal="left"/>
      <protection locked="0"/>
    </xf>
    <xf numFmtId="0" fontId="20" fillId="10" borderId="7" xfId="0" applyFont="1" applyFill="1" applyBorder="1" applyAlignment="1" applyProtection="1">
      <alignment horizontal="left"/>
      <protection locked="0"/>
    </xf>
    <xf numFmtId="0" fontId="11" fillId="0" borderId="32" xfId="0" applyFont="1" applyBorder="1" applyAlignment="1">
      <alignment horizontal="center"/>
    </xf>
    <xf numFmtId="0" fontId="7" fillId="0" borderId="32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32" fillId="2" borderId="24" xfId="0" applyFont="1" applyFill="1" applyBorder="1" applyAlignment="1" applyProtection="1">
      <alignment horizontal="center" vertical="center" wrapText="1"/>
      <protection locked="0"/>
    </xf>
    <xf numFmtId="0" fontId="32" fillId="2" borderId="0" xfId="0" applyFont="1" applyFill="1" applyAlignment="1" applyProtection="1">
      <alignment horizontal="center" vertical="center" wrapText="1"/>
      <protection locked="0"/>
    </xf>
    <xf numFmtId="0" fontId="32" fillId="2" borderId="25" xfId="0" applyFont="1" applyFill="1" applyBorder="1" applyAlignment="1" applyProtection="1">
      <alignment horizontal="center" vertical="center" wrapText="1"/>
      <protection locked="0"/>
    </xf>
    <xf numFmtId="0" fontId="10" fillId="10" borderId="6" xfId="0" applyFont="1" applyFill="1" applyBorder="1" applyAlignment="1" applyProtection="1">
      <alignment horizontal="center"/>
      <protection locked="0"/>
    </xf>
    <xf numFmtId="0" fontId="10" fillId="10" borderId="32" xfId="0" applyFont="1" applyFill="1" applyBorder="1" applyAlignment="1" applyProtection="1">
      <alignment horizontal="center"/>
      <protection locked="0"/>
    </xf>
    <xf numFmtId="0" fontId="10" fillId="10" borderId="23" xfId="0" applyFont="1" applyFill="1" applyBorder="1" applyAlignment="1" applyProtection="1">
      <alignment horizontal="center"/>
      <protection locked="0"/>
    </xf>
    <xf numFmtId="0" fontId="11" fillId="0" borderId="32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5" fillId="0" borderId="34" xfId="0" applyFont="1" applyBorder="1" applyAlignment="1" applyProtection="1">
      <alignment horizontal="center"/>
      <protection locked="0"/>
    </xf>
    <xf numFmtId="0" fontId="5" fillId="0" borderId="35" xfId="0" applyFont="1" applyBorder="1" applyAlignment="1" applyProtection="1">
      <alignment horizontal="center"/>
      <protection locked="0"/>
    </xf>
    <xf numFmtId="0" fontId="5" fillId="0" borderId="36" xfId="0" applyFont="1" applyBorder="1" applyAlignment="1" applyProtection="1">
      <alignment horizontal="center"/>
      <protection locked="0"/>
    </xf>
    <xf numFmtId="0" fontId="6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0" borderId="36" xfId="0" applyFont="1" applyFill="1" applyBorder="1" applyAlignment="1" applyProtection="1">
      <alignment horizontal="center"/>
      <protection locked="0"/>
    </xf>
    <xf numFmtId="0" fontId="6" fillId="10" borderId="6" xfId="0" applyFont="1" applyFill="1" applyBorder="1" applyAlignment="1" applyProtection="1">
      <alignment horizontal="center"/>
      <protection locked="0"/>
    </xf>
    <xf numFmtId="0" fontId="6" fillId="10" borderId="23" xfId="0" applyFont="1" applyFill="1" applyBorder="1" applyAlignment="1" applyProtection="1">
      <alignment horizontal="center"/>
      <protection locked="0"/>
    </xf>
    <xf numFmtId="0" fontId="5" fillId="0" borderId="96" xfId="0" applyFont="1" applyBorder="1" applyAlignment="1" applyProtection="1">
      <alignment horizontal="left"/>
      <protection locked="0"/>
    </xf>
    <xf numFmtId="0" fontId="5" fillId="0" borderId="3" xfId="0" applyFont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5" xfId="0" applyBorder="1" applyAlignment="1" applyProtection="1">
      <alignment horizontal="left"/>
      <protection locked="0"/>
    </xf>
    <xf numFmtId="0" fontId="0" fillId="0" borderId="11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35" fillId="0" borderId="1" xfId="0" applyFont="1" applyBorder="1" applyAlignment="1" applyProtection="1">
      <alignment horizontal="left"/>
      <protection locked="0"/>
    </xf>
    <xf numFmtId="0" fontId="36" fillId="0" borderId="1" xfId="0" applyFont="1" applyBorder="1" applyAlignment="1" applyProtection="1">
      <alignment horizontal="left"/>
      <protection locked="0"/>
    </xf>
    <xf numFmtId="0" fontId="6" fillId="10" borderId="98" xfId="0" applyFont="1" applyFill="1" applyBorder="1" applyAlignment="1" applyProtection="1">
      <alignment horizontal="center"/>
      <protection locked="0"/>
    </xf>
    <xf numFmtId="0" fontId="6" fillId="10" borderId="99" xfId="0" applyFont="1" applyFill="1" applyBorder="1" applyAlignment="1" applyProtection="1">
      <alignment horizontal="center"/>
      <protection locked="0"/>
    </xf>
    <xf numFmtId="0" fontId="6" fillId="10" borderId="24" xfId="0" applyFont="1" applyFill="1" applyBorder="1" applyAlignment="1" applyProtection="1">
      <alignment horizontal="center"/>
      <protection locked="0"/>
    </xf>
    <xf numFmtId="0" fontId="6" fillId="10" borderId="0" xfId="0" applyFont="1" applyFill="1" applyAlignment="1" applyProtection="1">
      <alignment horizontal="center"/>
      <protection locked="0"/>
    </xf>
    <xf numFmtId="0" fontId="20" fillId="10" borderId="63" xfId="0" applyFont="1" applyFill="1" applyBorder="1" applyAlignment="1" applyProtection="1">
      <alignment horizontal="left"/>
      <protection locked="0"/>
    </xf>
    <xf numFmtId="0" fontId="20" fillId="10" borderId="64" xfId="0" applyFont="1" applyFill="1" applyBorder="1" applyAlignment="1" applyProtection="1">
      <alignment horizontal="left"/>
      <protection locked="0"/>
    </xf>
    <xf numFmtId="0" fontId="11" fillId="0" borderId="32" xfId="0" applyFont="1" applyBorder="1" applyAlignment="1" applyProtection="1">
      <alignment horizontal="center"/>
      <protection locked="0"/>
    </xf>
    <xf numFmtId="0" fontId="20" fillId="10" borderId="8" xfId="0" applyFont="1" applyFill="1" applyBorder="1" applyAlignment="1" applyProtection="1">
      <alignment horizontal="left"/>
      <protection locked="0"/>
    </xf>
    <xf numFmtId="0" fontId="11" fillId="0" borderId="32" xfId="0" applyFont="1" applyBorder="1" applyAlignment="1">
      <alignment horizontal="center" vertical="center"/>
    </xf>
    <xf numFmtId="0" fontId="8" fillId="13" borderId="34" xfId="0" applyFont="1" applyFill="1" applyBorder="1" applyAlignment="1" applyProtection="1">
      <alignment horizontal="center"/>
      <protection locked="0"/>
    </xf>
    <xf numFmtId="0" fontId="8" fillId="13" borderId="36" xfId="0" applyFont="1" applyFill="1" applyBorder="1" applyAlignment="1" applyProtection="1">
      <alignment horizontal="center"/>
      <protection locked="0"/>
    </xf>
    <xf numFmtId="44" fontId="25" fillId="0" borderId="0" xfId="5" applyFont="1" applyBorder="1" applyAlignment="1" applyProtection="1">
      <alignment horizontal="center"/>
      <protection locked="0"/>
    </xf>
    <xf numFmtId="44" fontId="25" fillId="0" borderId="0" xfId="5" applyFont="1" applyAlignment="1" applyProtection="1">
      <alignment horizontal="center"/>
      <protection locked="0"/>
    </xf>
    <xf numFmtId="49" fontId="0" fillId="0" borderId="9" xfId="0" applyNumberFormat="1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left"/>
      <protection locked="0"/>
    </xf>
    <xf numFmtId="0" fontId="0" fillId="0" borderId="55" xfId="0" applyBorder="1" applyAlignment="1" applyProtection="1">
      <alignment horizontal="left"/>
      <protection locked="0"/>
    </xf>
    <xf numFmtId="49" fontId="0" fillId="0" borderId="9" xfId="0" applyNumberFormat="1" applyBorder="1" applyAlignment="1" applyProtection="1">
      <alignment horizontal="left" wrapText="1"/>
      <protection locked="0"/>
    </xf>
    <xf numFmtId="0" fontId="0" fillId="0" borderId="2" xfId="0" applyBorder="1" applyAlignment="1" applyProtection="1">
      <alignment horizontal="left" wrapText="1"/>
      <protection locked="0"/>
    </xf>
    <xf numFmtId="0" fontId="0" fillId="0" borderId="55" xfId="0" applyBorder="1" applyAlignment="1" applyProtection="1">
      <alignment horizontal="left" wrapText="1"/>
      <protection locked="0"/>
    </xf>
    <xf numFmtId="0" fontId="20" fillId="10" borderId="13" xfId="0" applyFont="1" applyFill="1" applyBorder="1" applyAlignment="1" applyProtection="1">
      <alignment horizontal="center"/>
      <protection locked="0"/>
    </xf>
    <xf numFmtId="0" fontId="20" fillId="10" borderId="7" xfId="0" applyFont="1" applyFill="1" applyBorder="1" applyAlignment="1" applyProtection="1">
      <alignment horizontal="center"/>
      <protection locked="0"/>
    </xf>
    <xf numFmtId="0" fontId="20" fillId="10" borderId="8" xfId="0" applyFont="1" applyFill="1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left"/>
      <protection locked="0"/>
    </xf>
    <xf numFmtId="49" fontId="19" fillId="0" borderId="26" xfId="0" applyNumberFormat="1" applyFont="1" applyBorder="1" applyAlignment="1" applyProtection="1">
      <alignment horizontal="left" vertical="center" wrapText="1"/>
      <protection locked="0"/>
    </xf>
    <xf numFmtId="49" fontId="19" fillId="0" borderId="33" xfId="0" applyNumberFormat="1" applyFont="1" applyBorder="1" applyAlignment="1" applyProtection="1">
      <alignment horizontal="left" vertical="center" wrapText="1"/>
      <protection locked="0"/>
    </xf>
    <xf numFmtId="49" fontId="19" fillId="0" borderId="27" xfId="0" applyNumberFormat="1" applyFont="1" applyBorder="1" applyAlignment="1" applyProtection="1">
      <alignment horizontal="left" vertical="center" wrapText="1"/>
      <protection locked="0"/>
    </xf>
    <xf numFmtId="0" fontId="29" fillId="0" borderId="76" xfId="10" applyFont="1" applyBorder="1" applyAlignment="1">
      <alignment horizontal="left"/>
    </xf>
    <xf numFmtId="0" fontId="29" fillId="0" borderId="0" xfId="10" applyFont="1" applyAlignment="1">
      <alignment horizontal="left"/>
    </xf>
    <xf numFmtId="14" fontId="1" fillId="0" borderId="0" xfId="10" applyNumberFormat="1" applyAlignment="1">
      <alignment horizontal="left"/>
    </xf>
    <xf numFmtId="0" fontId="1" fillId="0" borderId="73" xfId="10" applyBorder="1" applyAlignment="1">
      <alignment horizontal="center"/>
    </xf>
    <xf numFmtId="0" fontId="1" fillId="0" borderId="74" xfId="10" applyBorder="1" applyAlignment="1">
      <alignment horizontal="center"/>
    </xf>
    <xf numFmtId="0" fontId="1" fillId="0" borderId="76" xfId="10" applyBorder="1" applyAlignment="1">
      <alignment horizontal="left"/>
    </xf>
    <xf numFmtId="0" fontId="1" fillId="0" borderId="0" xfId="10" applyAlignment="1">
      <alignment horizontal="left"/>
    </xf>
    <xf numFmtId="0" fontId="30" fillId="0" borderId="0" xfId="10" applyFont="1" applyAlignment="1">
      <alignment horizontal="right"/>
    </xf>
    <xf numFmtId="0" fontId="30" fillId="0" borderId="0" xfId="10" applyFont="1" applyAlignment="1">
      <alignment horizontal="center"/>
    </xf>
  </cellXfs>
  <cellStyles count="15">
    <cellStyle name="Calculation" xfId="14" builtinId="22"/>
    <cellStyle name="Comma" xfId="13" builtinId="3"/>
    <cellStyle name="Currency" xfId="1" builtinId="4"/>
    <cellStyle name="Currency 2" xfId="5" xr:uid="{C4666B7B-201E-4477-A240-0FD07DF9FB7D}"/>
    <cellStyle name="Currency 3" xfId="11" xr:uid="{9AEBFDCC-5789-421E-8147-8DF38146183F}"/>
    <cellStyle name="Enter Data" xfId="7" xr:uid="{17E7BE0D-00B1-494C-9C65-A060676B40C3}"/>
    <cellStyle name="Hyperlink" xfId="12" builtinId="8"/>
    <cellStyle name="Normal" xfId="0" builtinId="0"/>
    <cellStyle name="Normal 2" xfId="3" xr:uid="{6663D23B-8BBD-40A8-BD1E-D29B1737D29B}"/>
    <cellStyle name="Normal 3" xfId="8" xr:uid="{452BC4E7-DDA0-4D0E-AE1E-A47575F09BDC}"/>
    <cellStyle name="Normal 4" xfId="9" xr:uid="{DDA4FB44-B07D-4D01-83B1-8F6E4C375112}"/>
    <cellStyle name="Normal 5" xfId="6" xr:uid="{048653D7-F8DD-407F-8D10-D4555D7BFDDF}"/>
    <cellStyle name="Normal 6" xfId="10" xr:uid="{350412ED-6DA5-444B-9457-ECCC970D41FE}"/>
    <cellStyle name="Normal 7" xfId="4" xr:uid="{E754F013-62CD-43B0-9B93-49A109331761}"/>
    <cellStyle name="Percent" xfId="2" builtinId="5"/>
  </cellStyles>
  <dxfs count="21"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color rgb="FF66FF33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66FF33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66FF33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strike val="0"/>
        <outline val="0"/>
        <shadow val="0"/>
        <u val="none"/>
        <vertAlign val="baseline"/>
        <sz val="10"/>
        <color theme="0" tint="-0.34998626667073579"/>
        <name val="Century Gothic"/>
        <family val="2"/>
        <scheme val="none"/>
      </font>
      <numFmt numFmtId="0" formatCode="General"/>
      <protection locked="0" hidden="0"/>
    </dxf>
    <dxf>
      <border outline="0">
        <right style="medium">
          <color indexed="64"/>
        </right>
      </border>
    </dxf>
    <dxf>
      <font>
        <strike val="0"/>
        <outline val="0"/>
        <shadow val="0"/>
        <u val="none"/>
        <vertAlign val="baseline"/>
        <sz val="10"/>
        <color theme="0" tint="-0.34998626667073579"/>
        <name val="Century Gothic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theme="0" tint="-0.34998626667073579"/>
        <name val="Century Gothic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1" formatCode="&quot;$&quot;#,##0.00_);\(&quot;$&quot;#,##0.00\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8" formatCode="#,##0.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0" hidden="0"/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3057A6"/>
      <color rgb="FF66FF33"/>
      <color rgb="FF0B1A3F"/>
      <color rgb="FFFFC7CE"/>
      <color rgb="FFFFEB9C"/>
      <color rgb="FFC6EFCE"/>
      <color rgb="FFA7E292"/>
      <color rgb="FF000000"/>
      <color rgb="FFA8A9AD"/>
      <color rgb="FF96C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130399</xdr:colOff>
      <xdr:row>11</xdr:row>
      <xdr:rowOff>51958</xdr:rowOff>
    </xdr:from>
    <xdr:ext cx="2638545" cy="2749200"/>
    <xdr:pic>
      <xdr:nvPicPr>
        <xdr:cNvPr id="2" name="Picture 1">
          <a:extLst>
            <a:ext uri="{FF2B5EF4-FFF2-40B4-BE49-F238E27FC236}">
              <a16:creationId xmlns:a16="http://schemas.microsoft.com/office/drawing/2014/main" id="{8CBBFC95-FBF0-4280-B883-214F5BE5B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5664" y="2304340"/>
          <a:ext cx="2638545" cy="27492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118307</xdr:colOff>
      <xdr:row>2</xdr:row>
      <xdr:rowOff>45902</xdr:rowOff>
    </xdr:from>
    <xdr:to>
      <xdr:col>5</xdr:col>
      <xdr:colOff>1182866</xdr:colOff>
      <xdr:row>2</xdr:row>
      <xdr:rowOff>216694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0F3E20D-C0C8-D742-F882-9BB7FA703317}"/>
            </a:ext>
          </a:extLst>
        </xdr:cNvPr>
        <xdr:cNvSpPr txBox="1"/>
      </xdr:nvSpPr>
      <xdr:spPr>
        <a:xfrm>
          <a:off x="9906197" y="354512"/>
          <a:ext cx="1064559" cy="17079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>
              <a:latin typeface="Century Gothic" panose="020B0502020202020204" pitchFamily="34" charset="0"/>
            </a:rPr>
            <a:t>Date</a:t>
          </a:r>
        </a:p>
      </xdr:txBody>
    </xdr:sp>
    <xdr:clientData/>
  </xdr:twoCellAnchor>
  <xdr:twoCellAnchor editAs="absolute">
    <xdr:from>
      <xdr:col>5</xdr:col>
      <xdr:colOff>1184821</xdr:colOff>
      <xdr:row>2</xdr:row>
      <xdr:rowOff>45619</xdr:rowOff>
    </xdr:from>
    <xdr:to>
      <xdr:col>6</xdr:col>
      <xdr:colOff>85395</xdr:colOff>
      <xdr:row>2</xdr:row>
      <xdr:rowOff>216411</xdr:rowOff>
    </xdr:to>
    <xdr:sp macro="" textlink="'STEP 1 - PROJECT DATA'!G9">
      <xdr:nvSpPr>
        <xdr:cNvPr id="3" name="TextBox 2">
          <a:extLst>
            <a:ext uri="{FF2B5EF4-FFF2-40B4-BE49-F238E27FC236}">
              <a16:creationId xmlns:a16="http://schemas.microsoft.com/office/drawing/2014/main" id="{F7D5671D-1670-FEC7-2B76-72C0CE8A3785}"/>
            </a:ext>
          </a:extLst>
        </xdr:cNvPr>
        <xdr:cNvSpPr txBox="1"/>
      </xdr:nvSpPr>
      <xdr:spPr>
        <a:xfrm>
          <a:off x="10972580" y="347791"/>
          <a:ext cx="936953" cy="17079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1C9EA49A-B04C-4F91-9F82-37744C52DB92}" type="TxLink">
            <a:rPr lang="en-US" sz="1100" b="0" i="0" u="none" strike="noStrike">
              <a:solidFill>
                <a:srgbClr val="000000"/>
              </a:solidFill>
              <a:latin typeface="Century Gothic"/>
            </a:rPr>
            <a:pPr algn="r"/>
            <a:t>12/19/2025</a:t>
          </a:fld>
          <a:endParaRPr lang="en-US" sz="11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</xdr:col>
      <xdr:colOff>48441</xdr:colOff>
      <xdr:row>2</xdr:row>
      <xdr:rowOff>48182</xdr:rowOff>
    </xdr:from>
    <xdr:to>
      <xdr:col>2</xdr:col>
      <xdr:colOff>1060461</xdr:colOff>
      <xdr:row>3</xdr:row>
      <xdr:rowOff>35851</xdr:rowOff>
    </xdr:to>
    <xdr:sp macro="" textlink="'STEP 1 - PROJECT DATA'!C5">
      <xdr:nvSpPr>
        <xdr:cNvPr id="4" name="TextBox 3">
          <a:extLst>
            <a:ext uri="{FF2B5EF4-FFF2-40B4-BE49-F238E27FC236}">
              <a16:creationId xmlns:a16="http://schemas.microsoft.com/office/drawing/2014/main" id="{8F9C1E43-1BCA-3F95-7144-E5923C611437}"/>
            </a:ext>
          </a:extLst>
        </xdr:cNvPr>
        <xdr:cNvSpPr txBox="1"/>
      </xdr:nvSpPr>
      <xdr:spPr>
        <a:xfrm>
          <a:off x="421821" y="356792"/>
          <a:ext cx="1137750" cy="1781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DABFA8E1-6A51-43DC-9A30-7C5C1686AA4F}" type="TxLink">
            <a:rPr lang="en-US" sz="1100" b="1" i="0" u="none" strike="noStrike">
              <a:solidFill>
                <a:srgbClr val="000000"/>
              </a:solidFill>
              <a:latin typeface="Century Gothic"/>
            </a:rPr>
            <a:pPr algn="l"/>
            <a:t>Project Name</a:t>
          </a:fld>
          <a:endParaRPr lang="en-US" sz="1100"/>
        </a:p>
      </xdr:txBody>
    </xdr:sp>
    <xdr:clientData/>
  </xdr:twoCellAnchor>
  <xdr:twoCellAnchor editAs="absolute">
    <xdr:from>
      <xdr:col>2</xdr:col>
      <xdr:colOff>1061419</xdr:colOff>
      <xdr:row>2</xdr:row>
      <xdr:rowOff>48182</xdr:rowOff>
    </xdr:from>
    <xdr:to>
      <xdr:col>3</xdr:col>
      <xdr:colOff>765229</xdr:colOff>
      <xdr:row>2</xdr:row>
      <xdr:rowOff>226351</xdr:rowOff>
    </xdr:to>
    <xdr:sp macro="" textlink="'STEP 1 - PROJECT DATA'!D5">
      <xdr:nvSpPr>
        <xdr:cNvPr id="7" name="TextBox 6">
          <a:extLst>
            <a:ext uri="{FF2B5EF4-FFF2-40B4-BE49-F238E27FC236}">
              <a16:creationId xmlns:a16="http://schemas.microsoft.com/office/drawing/2014/main" id="{35D523A8-424C-BBD9-5689-C7200F1E8774}"/>
            </a:ext>
          </a:extLst>
        </xdr:cNvPr>
        <xdr:cNvSpPr txBox="1"/>
      </xdr:nvSpPr>
      <xdr:spPr>
        <a:xfrm>
          <a:off x="1560529" y="356792"/>
          <a:ext cx="1856460" cy="1781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A70AB1A6-D67C-4CE0-83B6-1E31B6FACCAA}" type="TxLink">
            <a:rPr lang="en-US" sz="1100" b="0" i="0" u="none" strike="noStrike">
              <a:solidFill>
                <a:srgbClr val="000000"/>
              </a:solidFill>
              <a:latin typeface="Century Gothic"/>
            </a:rPr>
            <a:pPr algn="l"/>
            <a:t>Name</a:t>
          </a:fld>
          <a:endParaRPr lang="en-US" sz="1100"/>
        </a:p>
      </xdr:txBody>
    </xdr:sp>
    <xdr:clientData/>
  </xdr:twoCellAnchor>
  <xdr:twoCellAnchor>
    <xdr:from>
      <xdr:col>1</xdr:col>
      <xdr:colOff>48441</xdr:colOff>
      <xdr:row>3</xdr:row>
      <xdr:rowOff>30538</xdr:rowOff>
    </xdr:from>
    <xdr:to>
      <xdr:col>2</xdr:col>
      <xdr:colOff>1060461</xdr:colOff>
      <xdr:row>3</xdr:row>
      <xdr:rowOff>222528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4058947-1B0F-DAF6-C290-4DB7852462A8}"/>
            </a:ext>
          </a:extLst>
        </xdr:cNvPr>
        <xdr:cNvSpPr txBox="1"/>
      </xdr:nvSpPr>
      <xdr:spPr>
        <a:xfrm>
          <a:off x="421821" y="529648"/>
          <a:ext cx="1137750" cy="1919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 i="0" u="none" strike="noStrike">
              <a:solidFill>
                <a:srgbClr val="000000"/>
              </a:solidFill>
              <a:latin typeface="Century Gothic"/>
            </a:rPr>
            <a:t>Location</a:t>
          </a:r>
        </a:p>
      </xdr:txBody>
    </xdr:sp>
    <xdr:clientData/>
  </xdr:twoCellAnchor>
  <xdr:twoCellAnchor editAs="absolute">
    <xdr:from>
      <xdr:col>2</xdr:col>
      <xdr:colOff>1058983</xdr:colOff>
      <xdr:row>2</xdr:row>
      <xdr:rowOff>222689</xdr:rowOff>
    </xdr:from>
    <xdr:to>
      <xdr:col>3</xdr:col>
      <xdr:colOff>765229</xdr:colOff>
      <xdr:row>3</xdr:row>
      <xdr:rowOff>177704</xdr:rowOff>
    </xdr:to>
    <xdr:sp macro="" textlink="'STEP 1 - PROJECT DATA'!D8">
      <xdr:nvSpPr>
        <xdr:cNvPr id="9" name="TextBox 8">
          <a:extLst>
            <a:ext uri="{FF2B5EF4-FFF2-40B4-BE49-F238E27FC236}">
              <a16:creationId xmlns:a16="http://schemas.microsoft.com/office/drawing/2014/main" id="{95071DFE-95D2-12CE-43E8-669D90CAAE10}"/>
            </a:ext>
          </a:extLst>
        </xdr:cNvPr>
        <xdr:cNvSpPr txBox="1"/>
      </xdr:nvSpPr>
      <xdr:spPr>
        <a:xfrm>
          <a:off x="1558093" y="531299"/>
          <a:ext cx="1858896" cy="190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AECF23A8-DD8D-41AF-A566-FA595F4FEBF7}" type="TxLink">
            <a:rPr lang="en-US" sz="1100" b="0" i="0" u="none" strike="noStrike">
              <a:solidFill>
                <a:srgbClr val="000000"/>
              </a:solidFill>
              <a:latin typeface="Century Gothic"/>
            </a:rPr>
            <a:pPr algn="l"/>
            <a:t>1234 Main St</a:t>
          </a:fld>
          <a:endParaRPr lang="en-US" sz="1100"/>
        </a:p>
      </xdr:txBody>
    </xdr:sp>
    <xdr:clientData/>
  </xdr:twoCellAnchor>
  <xdr:twoCellAnchor editAs="absolute">
    <xdr:from>
      <xdr:col>2</xdr:col>
      <xdr:colOff>1059598</xdr:colOff>
      <xdr:row>3</xdr:row>
      <xdr:rowOff>177862</xdr:rowOff>
    </xdr:from>
    <xdr:to>
      <xdr:col>3</xdr:col>
      <xdr:colOff>765229</xdr:colOff>
      <xdr:row>4</xdr:row>
      <xdr:rowOff>159175</xdr:rowOff>
    </xdr:to>
    <xdr:sp macro="" textlink="'STEP 1 - PROJECT DATA'!D9">
      <xdr:nvSpPr>
        <xdr:cNvPr id="10" name="TextBox 9">
          <a:extLst>
            <a:ext uri="{FF2B5EF4-FFF2-40B4-BE49-F238E27FC236}">
              <a16:creationId xmlns:a16="http://schemas.microsoft.com/office/drawing/2014/main" id="{FCC130AA-95CE-4B58-DE42-2A4A359225C9}"/>
            </a:ext>
          </a:extLst>
        </xdr:cNvPr>
        <xdr:cNvSpPr txBox="1"/>
      </xdr:nvSpPr>
      <xdr:spPr>
        <a:xfrm>
          <a:off x="1558708" y="721795"/>
          <a:ext cx="1858281" cy="20991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fld id="{041171C8-A8B8-4C49-8D14-7CCDC4B65633}" type="TxLink">
            <a:rPr lang="en-US" sz="1100" b="0" i="0" u="none" strike="noStrike">
              <a:solidFill>
                <a:srgbClr val="000000"/>
              </a:solidFill>
              <a:latin typeface="Century Gothic"/>
            </a:rPr>
            <a:pPr algn="l"/>
            <a:t>Minneapolis, MN</a:t>
          </a:fld>
          <a:endParaRPr lang="en-US" sz="1100"/>
        </a:p>
      </xdr:txBody>
    </xdr:sp>
    <xdr:clientData/>
  </xdr:twoCellAnchor>
  <xdr:twoCellAnchor editAs="absolute">
    <xdr:from>
      <xdr:col>1</xdr:col>
      <xdr:colOff>49697</xdr:colOff>
      <xdr:row>4</xdr:row>
      <xdr:rowOff>159039</xdr:rowOff>
    </xdr:from>
    <xdr:to>
      <xdr:col>2</xdr:col>
      <xdr:colOff>1059349</xdr:colOff>
      <xdr:row>5</xdr:row>
      <xdr:rowOff>158689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E76879D-38AC-E186-7783-9F7E30ECBAA5}"/>
            </a:ext>
          </a:extLst>
        </xdr:cNvPr>
        <xdr:cNvSpPr txBox="1"/>
      </xdr:nvSpPr>
      <xdr:spPr>
        <a:xfrm>
          <a:off x="423077" y="931573"/>
          <a:ext cx="1135382" cy="209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r>
            <a:rPr lang="en-US" sz="1100" b="1" i="0" u="none" strike="noStrike">
              <a:solidFill>
                <a:srgbClr val="000000"/>
              </a:solidFill>
              <a:latin typeface="Century Gothic"/>
            </a:rPr>
            <a:t>Architect</a:t>
          </a:r>
        </a:p>
      </xdr:txBody>
    </xdr:sp>
    <xdr:clientData/>
  </xdr:twoCellAnchor>
  <xdr:twoCellAnchor editAs="absolute">
    <xdr:from>
      <xdr:col>2</xdr:col>
      <xdr:colOff>1059740</xdr:colOff>
      <xdr:row>4</xdr:row>
      <xdr:rowOff>157460</xdr:rowOff>
    </xdr:from>
    <xdr:to>
      <xdr:col>3</xdr:col>
      <xdr:colOff>762000</xdr:colOff>
      <xdr:row>5</xdr:row>
      <xdr:rowOff>158855</xdr:rowOff>
    </xdr:to>
    <xdr:sp macro="" textlink="'STEP 1 - PROJECT DATA'!D13">
      <xdr:nvSpPr>
        <xdr:cNvPr id="12" name="TextBox 11">
          <a:extLst>
            <a:ext uri="{FF2B5EF4-FFF2-40B4-BE49-F238E27FC236}">
              <a16:creationId xmlns:a16="http://schemas.microsoft.com/office/drawing/2014/main" id="{361110F1-6364-30F7-DDAC-59EAE5012073}"/>
            </a:ext>
          </a:extLst>
        </xdr:cNvPr>
        <xdr:cNvSpPr txBox="1"/>
      </xdr:nvSpPr>
      <xdr:spPr>
        <a:xfrm>
          <a:off x="1558850" y="929994"/>
          <a:ext cx="1854910" cy="2109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fld id="{A89E775B-C74B-4A49-A8E6-576B105E9B0A}" type="TxLink">
            <a:rPr lang="en-US" sz="1100" b="0" i="0" u="none" strike="noStrike">
              <a:solidFill>
                <a:srgbClr val="000000"/>
              </a:solidFill>
              <a:latin typeface="Century Gothic"/>
            </a:rPr>
            <a:pPr algn="l"/>
            <a:t>TBD</a:t>
          </a:fld>
          <a:endParaRPr lang="en-US" sz="1100"/>
        </a:p>
      </xdr:txBody>
    </xdr:sp>
    <xdr:clientData/>
  </xdr:twoCellAnchor>
  <xdr:twoCellAnchor editAs="absolute">
    <xdr:from>
      <xdr:col>1</xdr:col>
      <xdr:colOff>49698</xdr:colOff>
      <xdr:row>5</xdr:row>
      <xdr:rowOff>159038</xdr:rowOff>
    </xdr:from>
    <xdr:to>
      <xdr:col>2</xdr:col>
      <xdr:colOff>1059350</xdr:colOff>
      <xdr:row>6</xdr:row>
      <xdr:rowOff>158688</xdr:rowOff>
    </xdr:to>
    <xdr:sp macro="" textlink="'STEP 1 - PROJECT DATA'!C14">
      <xdr:nvSpPr>
        <xdr:cNvPr id="13" name="TextBox 12">
          <a:extLst>
            <a:ext uri="{FF2B5EF4-FFF2-40B4-BE49-F238E27FC236}">
              <a16:creationId xmlns:a16="http://schemas.microsoft.com/office/drawing/2014/main" id="{33D7A0D2-B691-C13D-C028-EA4C6058B471}"/>
            </a:ext>
          </a:extLst>
        </xdr:cNvPr>
        <xdr:cNvSpPr txBox="1"/>
      </xdr:nvSpPr>
      <xdr:spPr>
        <a:xfrm>
          <a:off x="423078" y="1141122"/>
          <a:ext cx="1135382" cy="209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fld id="{8B762B66-97F0-4B71-8757-87A92FDE69F4}" type="TxLink">
            <a:rPr lang="en-US" sz="1100" b="1" i="0" u="none" strike="noStrike">
              <a:solidFill>
                <a:srgbClr val="000000"/>
              </a:solidFill>
              <a:latin typeface="Century Gothic"/>
            </a:rPr>
            <a:pPr algn="l"/>
            <a:t>Plan Set</a:t>
          </a:fld>
          <a:endParaRPr lang="en-US" sz="1100" b="1" i="0" u="none" strike="noStrike">
            <a:solidFill>
              <a:srgbClr val="000000"/>
            </a:solidFill>
            <a:latin typeface="Century Gothic"/>
          </a:endParaRPr>
        </a:p>
      </xdr:txBody>
    </xdr:sp>
    <xdr:clientData/>
  </xdr:twoCellAnchor>
  <xdr:twoCellAnchor editAs="absolute">
    <xdr:from>
      <xdr:col>2</xdr:col>
      <xdr:colOff>1059740</xdr:colOff>
      <xdr:row>5</xdr:row>
      <xdr:rowOff>157459</xdr:rowOff>
    </xdr:from>
    <xdr:to>
      <xdr:col>3</xdr:col>
      <xdr:colOff>765229</xdr:colOff>
      <xdr:row>6</xdr:row>
      <xdr:rowOff>158854</xdr:rowOff>
    </xdr:to>
    <xdr:sp macro="" textlink="'STEP 1 - PROJECT DATA'!D14">
      <xdr:nvSpPr>
        <xdr:cNvPr id="14" name="TextBox 13">
          <a:extLst>
            <a:ext uri="{FF2B5EF4-FFF2-40B4-BE49-F238E27FC236}">
              <a16:creationId xmlns:a16="http://schemas.microsoft.com/office/drawing/2014/main" id="{2A84411B-5F34-AD1E-F50F-E9D89B9A6363}"/>
            </a:ext>
          </a:extLst>
        </xdr:cNvPr>
        <xdr:cNvSpPr txBox="1"/>
      </xdr:nvSpPr>
      <xdr:spPr>
        <a:xfrm>
          <a:off x="1552799" y="1132371"/>
          <a:ext cx="1857018" cy="2143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fld id="{48790A26-3F52-43AA-8F64-224D72E4C046}" type="TxLink">
            <a:rPr lang="en-US" sz="1100" b="0" i="0" u="none" strike="noStrike">
              <a:solidFill>
                <a:srgbClr val="000000"/>
              </a:solidFill>
              <a:latin typeface="Century Gothic"/>
            </a:rPr>
            <a:pPr algn="l"/>
            <a:t>TBD</a:t>
          </a:fld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47625</xdr:rowOff>
    </xdr:from>
    <xdr:ext cx="1295400" cy="1349726"/>
    <xdr:pic>
      <xdr:nvPicPr>
        <xdr:cNvPr id="3" name="Picture 2">
          <a:extLst>
            <a:ext uri="{FF2B5EF4-FFF2-40B4-BE49-F238E27FC236}">
              <a16:creationId xmlns:a16="http://schemas.microsoft.com/office/drawing/2014/main" id="{FCB68622-9D67-4D45-A1F2-087DC5D88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47625"/>
          <a:ext cx="1295400" cy="134972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38100</xdr:rowOff>
    </xdr:from>
    <xdr:ext cx="1323974" cy="1379498"/>
    <xdr:pic>
      <xdr:nvPicPr>
        <xdr:cNvPr id="4" name="Picture 3">
          <a:extLst>
            <a:ext uri="{FF2B5EF4-FFF2-40B4-BE49-F238E27FC236}">
              <a16:creationId xmlns:a16="http://schemas.microsoft.com/office/drawing/2014/main" id="{0ECF9F92-A919-44F9-8672-CAC6428BF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38100"/>
          <a:ext cx="1323974" cy="1379498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95251</xdr:colOff>
      <xdr:row>0</xdr:row>
      <xdr:rowOff>66676</xdr:rowOff>
    </xdr:from>
    <xdr:ext cx="1323974" cy="1379498"/>
    <xdr:pic>
      <xdr:nvPicPr>
        <xdr:cNvPr id="3" name="Picture 2">
          <a:extLst>
            <a:ext uri="{FF2B5EF4-FFF2-40B4-BE49-F238E27FC236}">
              <a16:creationId xmlns:a16="http://schemas.microsoft.com/office/drawing/2014/main" id="{2882FBCB-EAD4-4723-9DEF-2A4155BE3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66676"/>
          <a:ext cx="1323974" cy="137949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SHARE/PROJECTS/Park%20Avenue%20Lofts-West/Estimates%20-%20Bids/Preliminary/VE%20Pre-Con%20Items/DD%20Estimate%207-10-02.xls" TargetMode="External"/><Relationship Id="rId1" Type="http://schemas.openxmlformats.org/officeDocument/2006/relationships/externalLinkPath" Target="/USERS/SHARE/PROJECTS/Park%20Avenue%20Lofts-West/Estimates%20-%20Bids/Preliminary/VE%20Pre-Con%20Items/DD%20Estimate%207-10-02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ATA/EXCEL/Projects/ParkLofts/Estimates/Heritage-Park%20Compare.XLS" TargetMode="External"/><Relationship Id="rId1" Type="http://schemas.openxmlformats.org/officeDocument/2006/relationships/externalLinkPath" Target="/DATA/EXCEL/Projects/ParkLofts/Estimates/Heritage-Park%20Compar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endlerpatterson.sharepoint.com/sites/fpshared/Shared%20Documents/Estimates/2025/E25-199%20-%20Carondolet%20Training%20Center/Budgets/Estimates/2025.06.23%20St%20Kates%20Training%20Lab%20-%20Concept%20Budget%20-%20LIVE.xlsx" TargetMode="External"/><Relationship Id="rId1" Type="http://schemas.openxmlformats.org/officeDocument/2006/relationships/externalLinkPath" Target="https://fendlerpatterson-my.sharepoint.com/sites/fpshared/Shared%20Documents/Estimates/2025/E25-199%20-%20Carondolet%20Training%20Center/Budgets/Estimates/2025.06.23%20St%20Kates%20Training%20Lab%20-%20Concept%20Budget%20-%20LIV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rket Info Recap"/>
      <sheetName val="Systems Recap"/>
      <sheetName val="Systems Detail"/>
      <sheetName val="Divisional Recap"/>
      <sheetName val="Divisional Detail "/>
      <sheetName val="SECTION ESTIMATE"/>
      <sheetName val="Project Information"/>
      <sheetName val="Unit Counts"/>
      <sheetName val="Bed and Bath"/>
      <sheetName val="Length &amp; Area"/>
      <sheetName val="General Conditions"/>
      <sheetName val="Interior Takeoff"/>
      <sheetName val="Earthwork"/>
      <sheetName val="Concrete"/>
      <sheetName val="Gypcrete"/>
      <sheetName val="Masonry"/>
      <sheetName val="Metals"/>
      <sheetName val="Rough Carpentry"/>
      <sheetName val="Lumber"/>
      <sheetName val="Finish Carpentry"/>
      <sheetName val="Millwork"/>
      <sheetName val="Windows and Patio Doors"/>
      <sheetName val="Insulation"/>
      <sheetName val="Roofing &amp; Sheetmetal"/>
      <sheetName val="Doors and Hardware"/>
      <sheetName val="Drywall"/>
      <sheetName val="Ceramic Tile"/>
      <sheetName val="Carpet and Vinyl"/>
      <sheetName val="Painting"/>
      <sheetName val="Accessories"/>
      <sheetName val="Cabinets &amp; Countertops"/>
      <sheetName val="Appliances"/>
      <sheetName val="Mechanical"/>
      <sheetName val="Fire Protection"/>
      <sheetName val="Electric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liminary"/>
      <sheetName val="Qualifications"/>
      <sheetName val="Takeoff"/>
      <sheetName val="Windows"/>
      <sheetName val="Subsets"/>
      <sheetName val="Concrete"/>
      <sheetName val="BORSON Compare"/>
      <sheetName val="MHFA213A"/>
      <sheetName val="HUD23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DO"/>
      <sheetName val="US_Holidays__2025_2034_"/>
      <sheetName val="Cover"/>
      <sheetName val="STEP 1 - PROJECT DATA"/>
      <sheetName val="STEP 2 - GCs"/>
      <sheetName val="STEP 3 - SITE OPS"/>
      <sheetName val="STEP 4 - ESTIMATE"/>
      <sheetName val="VEs_ALTS"/>
      <sheetName val="WINTER CONDITIONS"/>
      <sheetName val="CLARIFICATIONS"/>
      <sheetName val="PER DIEM"/>
      <sheetName val="TOWER CRANE"/>
      <sheetName val="SKIP"/>
      <sheetName val="STREET CLOSURES"/>
      <sheetName val="STORM RETENTION"/>
      <sheetName val="Budget Line Items"/>
      <sheetName val="Importer Data Fields"/>
      <sheetName val="Estimate - 6 - 02.24"/>
      <sheetName val="Estimate - 5 - 02.23"/>
      <sheetName val="General Conditions - Original"/>
      <sheetName val="Estimate - 4 - 02.22"/>
      <sheetName val="Estimate - 3 - 02.21.24"/>
      <sheetName val="Estimate (2)"/>
      <sheetName val="Estimate - Original"/>
      <sheetName val="Procore Cost Codes"/>
      <sheetName val="Col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AF20E58-8A82-4E95-8E02-62F2FB33A6FA}" name="Table8" displayName="Table8" ref="C9:F15" totalsRowShown="0" headerRowDxfId="20" headerRowBorderDxfId="19" tableBorderDxfId="18">
  <autoFilter ref="C9:F15" xr:uid="{BAF20E58-8A82-4E95-8E02-62F2FB33A6FA}"/>
  <tableColumns count="4">
    <tableColumn id="1" xr3:uid="{E0E038F0-4A81-48E7-8196-FC7C948650B9}" name=" " dataDxfId="17"/>
    <tableColumn id="3" xr3:uid="{98A2E352-B653-477E-AC14-8014B7AFC3A8}" name="Description" dataDxfId="16">
      <calculatedColumnFormula>K10</calculatedColumnFormula>
    </tableColumn>
    <tableColumn id="4" xr3:uid="{2F3558EF-30A9-4290-B085-02C508036F1A}" name="Comments" dataDxfId="15"/>
    <tableColumn id="5" xr3:uid="{660F3C46-5CDC-4AC2-A0E6-CD75D0601BBA}" name="Total" dataDxfId="14" dataCellStyle="Currency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52458DB-2B5C-4C0B-A756-9B15EF7CCC71}" name="Table7" displayName="Table7" ref="A9:A165" totalsRowShown="0" headerRowDxfId="13" dataDxfId="12" tableBorderDxfId="11">
  <autoFilter ref="A9:A165" xr:uid="{752458DB-2B5C-4C0B-A756-9B15EF7CCC71}"/>
  <tableColumns count="1">
    <tableColumn id="1" xr3:uid="{550F5641-E5DC-4BF6-9287-02DA210E1072}" name=" " dataDxfId="10">
      <calculatedColumnFormula>IF(F10&lt;&gt;0,1,0)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chayes@fpcinc.com" TargetMode="External"/><Relationship Id="rId2" Type="http://schemas.openxmlformats.org/officeDocument/2006/relationships/hyperlink" Target="mailto:kswanson@fpcinc.com" TargetMode="External"/><Relationship Id="rId1" Type="http://schemas.openxmlformats.org/officeDocument/2006/relationships/hyperlink" Target="mailto:cpesola@fpcinc.com" TargetMode="Externa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mailto:ifreitag@fpcinc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7ECDA-67E4-4A3E-9A83-D562ECAC952B}">
  <sheetPr codeName="Sheet11"/>
  <dimension ref="A1:A29"/>
  <sheetViews>
    <sheetView workbookViewId="0">
      <selection activeCell="M6" sqref="M6"/>
    </sheetView>
  </sheetViews>
  <sheetFormatPr defaultRowHeight="13.5"/>
  <cols>
    <col min="1" max="1" width="93.42578125" bestFit="1" customWidth="1"/>
    <col min="2" max="2" width="22.2851562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11" spans="1:1">
      <c r="A11" t="s">
        <v>3</v>
      </c>
    </row>
    <row r="18" spans="1:1">
      <c r="A18" t="s">
        <v>4</v>
      </c>
    </row>
    <row r="23" spans="1:1">
      <c r="A23" t="s">
        <v>5</v>
      </c>
    </row>
    <row r="29" spans="1:1">
      <c r="A29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9D33B-7687-4577-A96A-AFD0A0A4F39A}">
  <sheetPr codeName="Sheet12"/>
  <dimension ref="A1:D71"/>
  <sheetViews>
    <sheetView workbookViewId="0"/>
  </sheetViews>
  <sheetFormatPr defaultColWidth="9.140625" defaultRowHeight="15"/>
  <cols>
    <col min="1" max="16384" width="9.140625" style="145"/>
  </cols>
  <sheetData>
    <row r="1" spans="1:4">
      <c r="B1" s="145" t="s">
        <v>7</v>
      </c>
      <c r="C1" s="145" t="s">
        <v>8</v>
      </c>
      <c r="D1" s="145" t="s">
        <v>9</v>
      </c>
    </row>
    <row r="2" spans="1:4">
      <c r="A2" s="145">
        <v>0</v>
      </c>
      <c r="B2" s="145">
        <v>2025</v>
      </c>
      <c r="C2" s="145" t="s">
        <v>10</v>
      </c>
      <c r="D2" s="146">
        <v>45658</v>
      </c>
    </row>
    <row r="3" spans="1:4">
      <c r="A3" s="145">
        <v>1</v>
      </c>
      <c r="B3" s="145">
        <v>2025</v>
      </c>
      <c r="C3" s="145" t="s">
        <v>11</v>
      </c>
      <c r="D3" s="146">
        <v>45803</v>
      </c>
    </row>
    <row r="4" spans="1:4">
      <c r="A4" s="145">
        <v>2</v>
      </c>
      <c r="B4" s="145">
        <v>2025</v>
      </c>
      <c r="C4" s="145" t="s">
        <v>12</v>
      </c>
      <c r="D4" s="146">
        <v>45842</v>
      </c>
    </row>
    <row r="5" spans="1:4">
      <c r="A5" s="145">
        <v>3</v>
      </c>
      <c r="B5" s="145">
        <v>2025</v>
      </c>
      <c r="C5" s="145" t="s">
        <v>13</v>
      </c>
      <c r="D5" s="146">
        <v>45901</v>
      </c>
    </row>
    <row r="6" spans="1:4">
      <c r="A6" s="145">
        <v>4</v>
      </c>
      <c r="B6" s="145">
        <v>2025</v>
      </c>
      <c r="C6" s="145" t="s">
        <v>14</v>
      </c>
      <c r="D6" s="146">
        <v>45988</v>
      </c>
    </row>
    <row r="7" spans="1:4">
      <c r="A7" s="145">
        <v>5</v>
      </c>
      <c r="B7" s="145">
        <v>2025</v>
      </c>
      <c r="C7" s="145" t="s">
        <v>15</v>
      </c>
      <c r="D7" s="146">
        <v>45989</v>
      </c>
    </row>
    <row r="8" spans="1:4">
      <c r="A8" s="145">
        <v>6</v>
      </c>
      <c r="B8" s="145">
        <v>2025</v>
      </c>
      <c r="C8" s="145" t="s">
        <v>16</v>
      </c>
      <c r="D8" s="146">
        <v>46016</v>
      </c>
    </row>
    <row r="9" spans="1:4">
      <c r="A9" s="145">
        <v>7</v>
      </c>
      <c r="B9" s="145">
        <v>2026</v>
      </c>
      <c r="C9" s="145" t="s">
        <v>10</v>
      </c>
      <c r="D9" s="146">
        <v>46023</v>
      </c>
    </row>
    <row r="10" spans="1:4">
      <c r="A10" s="145">
        <v>8</v>
      </c>
      <c r="B10" s="145">
        <v>2026</v>
      </c>
      <c r="C10" s="145" t="s">
        <v>11</v>
      </c>
      <c r="D10" s="146">
        <v>46167</v>
      </c>
    </row>
    <row r="11" spans="1:4">
      <c r="A11" s="145">
        <v>9</v>
      </c>
      <c r="B11" s="145">
        <v>2026</v>
      </c>
      <c r="C11" s="145" t="s">
        <v>12</v>
      </c>
      <c r="D11" s="146">
        <v>46209</v>
      </c>
    </row>
    <row r="12" spans="1:4">
      <c r="A12" s="145">
        <v>10</v>
      </c>
      <c r="B12" s="145">
        <v>2026</v>
      </c>
      <c r="C12" s="145" t="s">
        <v>13</v>
      </c>
      <c r="D12" s="146">
        <v>46272</v>
      </c>
    </row>
    <row r="13" spans="1:4">
      <c r="A13" s="145">
        <v>11</v>
      </c>
      <c r="B13" s="145">
        <v>2026</v>
      </c>
      <c r="C13" s="145" t="s">
        <v>14</v>
      </c>
      <c r="D13" s="146">
        <v>46352</v>
      </c>
    </row>
    <row r="14" spans="1:4">
      <c r="A14" s="145">
        <v>12</v>
      </c>
      <c r="B14" s="145">
        <v>2026</v>
      </c>
      <c r="C14" s="145" t="s">
        <v>15</v>
      </c>
      <c r="D14" s="146">
        <v>46353</v>
      </c>
    </row>
    <row r="15" spans="1:4">
      <c r="A15" s="145">
        <v>13</v>
      </c>
      <c r="B15" s="145">
        <v>2026</v>
      </c>
      <c r="C15" s="145" t="s">
        <v>16</v>
      </c>
      <c r="D15" s="146">
        <v>46381</v>
      </c>
    </row>
    <row r="16" spans="1:4">
      <c r="A16" s="145">
        <v>14</v>
      </c>
      <c r="B16" s="145">
        <v>2027</v>
      </c>
      <c r="C16" s="145" t="s">
        <v>10</v>
      </c>
      <c r="D16" s="146">
        <v>46388</v>
      </c>
    </row>
    <row r="17" spans="1:4">
      <c r="A17" s="145">
        <v>15</v>
      </c>
      <c r="B17" s="145">
        <v>2027</v>
      </c>
      <c r="C17" s="145" t="s">
        <v>11</v>
      </c>
      <c r="D17" s="146">
        <v>46538</v>
      </c>
    </row>
    <row r="18" spans="1:4">
      <c r="A18" s="145">
        <v>16</v>
      </c>
      <c r="B18" s="145">
        <v>2027</v>
      </c>
      <c r="C18" s="145" t="s">
        <v>12</v>
      </c>
      <c r="D18" s="146">
        <v>46573</v>
      </c>
    </row>
    <row r="19" spans="1:4">
      <c r="A19" s="145">
        <v>17</v>
      </c>
      <c r="B19" s="145">
        <v>2027</v>
      </c>
      <c r="C19" s="145" t="s">
        <v>13</v>
      </c>
      <c r="D19" s="146">
        <v>46636</v>
      </c>
    </row>
    <row r="20" spans="1:4">
      <c r="A20" s="145">
        <v>18</v>
      </c>
      <c r="B20" s="145">
        <v>2027</v>
      </c>
      <c r="C20" s="145" t="s">
        <v>14</v>
      </c>
      <c r="D20" s="146">
        <v>46716</v>
      </c>
    </row>
    <row r="21" spans="1:4">
      <c r="A21" s="145">
        <v>19</v>
      </c>
      <c r="B21" s="145">
        <v>2027</v>
      </c>
      <c r="C21" s="145" t="s">
        <v>15</v>
      </c>
      <c r="D21" s="146">
        <v>46717</v>
      </c>
    </row>
    <row r="22" spans="1:4">
      <c r="A22" s="145">
        <v>20</v>
      </c>
      <c r="B22" s="145">
        <v>2027</v>
      </c>
      <c r="C22" s="145" t="s">
        <v>16</v>
      </c>
      <c r="D22" s="146">
        <v>46748</v>
      </c>
    </row>
    <row r="23" spans="1:4">
      <c r="A23" s="145">
        <v>21</v>
      </c>
      <c r="B23" s="145">
        <v>2028</v>
      </c>
      <c r="C23" s="145" t="s">
        <v>10</v>
      </c>
      <c r="D23" s="146">
        <v>46755</v>
      </c>
    </row>
    <row r="24" spans="1:4">
      <c r="A24" s="145">
        <v>22</v>
      </c>
      <c r="B24" s="145">
        <v>2028</v>
      </c>
      <c r="C24" s="145" t="s">
        <v>11</v>
      </c>
      <c r="D24" s="146">
        <v>46902</v>
      </c>
    </row>
    <row r="25" spans="1:4">
      <c r="A25" s="145">
        <v>23</v>
      </c>
      <c r="B25" s="145">
        <v>2028</v>
      </c>
      <c r="C25" s="145" t="s">
        <v>12</v>
      </c>
      <c r="D25" s="146">
        <v>46938</v>
      </c>
    </row>
    <row r="26" spans="1:4">
      <c r="A26" s="145">
        <v>24</v>
      </c>
      <c r="B26" s="145">
        <v>2028</v>
      </c>
      <c r="C26" s="145" t="s">
        <v>13</v>
      </c>
      <c r="D26" s="146">
        <v>47000</v>
      </c>
    </row>
    <row r="27" spans="1:4">
      <c r="A27" s="145">
        <v>25</v>
      </c>
      <c r="B27" s="145">
        <v>2028</v>
      </c>
      <c r="C27" s="145" t="s">
        <v>14</v>
      </c>
      <c r="D27" s="146">
        <v>47080</v>
      </c>
    </row>
    <row r="28" spans="1:4">
      <c r="A28" s="145">
        <v>26</v>
      </c>
      <c r="B28" s="145">
        <v>2028</v>
      </c>
      <c r="C28" s="145" t="s">
        <v>15</v>
      </c>
      <c r="D28" s="146">
        <v>47081</v>
      </c>
    </row>
    <row r="29" spans="1:4">
      <c r="A29" s="145">
        <v>27</v>
      </c>
      <c r="B29" s="145">
        <v>2028</v>
      </c>
      <c r="C29" s="145" t="s">
        <v>16</v>
      </c>
      <c r="D29" s="146">
        <v>47112</v>
      </c>
    </row>
    <row r="30" spans="1:4">
      <c r="A30" s="145">
        <v>28</v>
      </c>
      <c r="B30" s="145">
        <v>2029</v>
      </c>
      <c r="C30" s="145" t="s">
        <v>10</v>
      </c>
      <c r="D30" s="146">
        <v>47119</v>
      </c>
    </row>
    <row r="31" spans="1:4">
      <c r="A31" s="145">
        <v>29</v>
      </c>
      <c r="B31" s="145">
        <v>2029</v>
      </c>
      <c r="C31" s="145" t="s">
        <v>11</v>
      </c>
      <c r="D31" s="146">
        <v>47266</v>
      </c>
    </row>
    <row r="32" spans="1:4">
      <c r="A32" s="145">
        <v>30</v>
      </c>
      <c r="B32" s="145">
        <v>2029</v>
      </c>
      <c r="C32" s="145" t="s">
        <v>12</v>
      </c>
      <c r="D32" s="146">
        <v>47303</v>
      </c>
    </row>
    <row r="33" spans="1:4">
      <c r="A33" s="145">
        <v>31</v>
      </c>
      <c r="B33" s="145">
        <v>2029</v>
      </c>
      <c r="C33" s="145" t="s">
        <v>13</v>
      </c>
      <c r="D33" s="146">
        <v>47364</v>
      </c>
    </row>
    <row r="34" spans="1:4">
      <c r="A34" s="145">
        <v>32</v>
      </c>
      <c r="B34" s="145">
        <v>2029</v>
      </c>
      <c r="C34" s="145" t="s">
        <v>14</v>
      </c>
      <c r="D34" s="146">
        <v>47444</v>
      </c>
    </row>
    <row r="35" spans="1:4">
      <c r="A35" s="145">
        <v>33</v>
      </c>
      <c r="B35" s="145">
        <v>2029</v>
      </c>
      <c r="C35" s="145" t="s">
        <v>15</v>
      </c>
      <c r="D35" s="146">
        <v>47445</v>
      </c>
    </row>
    <row r="36" spans="1:4">
      <c r="A36" s="145">
        <v>34</v>
      </c>
      <c r="B36" s="145">
        <v>2029</v>
      </c>
      <c r="C36" s="145" t="s">
        <v>16</v>
      </c>
      <c r="D36" s="146">
        <v>47477</v>
      </c>
    </row>
    <row r="37" spans="1:4">
      <c r="A37" s="145">
        <v>35</v>
      </c>
      <c r="B37" s="145">
        <v>2030</v>
      </c>
      <c r="C37" s="145" t="s">
        <v>10</v>
      </c>
      <c r="D37" s="146">
        <v>47484</v>
      </c>
    </row>
    <row r="38" spans="1:4">
      <c r="A38" s="145">
        <v>36</v>
      </c>
      <c r="B38" s="145">
        <v>2030</v>
      </c>
      <c r="C38" s="145" t="s">
        <v>11</v>
      </c>
      <c r="D38" s="146">
        <v>47630</v>
      </c>
    </row>
    <row r="39" spans="1:4">
      <c r="A39" s="145">
        <v>37</v>
      </c>
      <c r="B39" s="145">
        <v>2030</v>
      </c>
      <c r="C39" s="145" t="s">
        <v>12</v>
      </c>
      <c r="D39" s="146">
        <v>47668</v>
      </c>
    </row>
    <row r="40" spans="1:4">
      <c r="A40" s="145">
        <v>38</v>
      </c>
      <c r="B40" s="145">
        <v>2030</v>
      </c>
      <c r="C40" s="145" t="s">
        <v>13</v>
      </c>
      <c r="D40" s="146">
        <v>47728</v>
      </c>
    </row>
    <row r="41" spans="1:4">
      <c r="A41" s="145">
        <v>39</v>
      </c>
      <c r="B41" s="145">
        <v>2030</v>
      </c>
      <c r="C41" s="145" t="s">
        <v>14</v>
      </c>
      <c r="D41" s="146">
        <v>47815</v>
      </c>
    </row>
    <row r="42" spans="1:4">
      <c r="A42" s="145">
        <v>40</v>
      </c>
      <c r="B42" s="145">
        <v>2030</v>
      </c>
      <c r="C42" s="145" t="s">
        <v>15</v>
      </c>
      <c r="D42" s="146">
        <v>47816</v>
      </c>
    </row>
    <row r="43" spans="1:4">
      <c r="A43" s="145">
        <v>41</v>
      </c>
      <c r="B43" s="145">
        <v>2030</v>
      </c>
      <c r="C43" s="145" t="s">
        <v>16</v>
      </c>
      <c r="D43" s="146">
        <v>47842</v>
      </c>
    </row>
    <row r="44" spans="1:4">
      <c r="A44" s="145">
        <v>42</v>
      </c>
      <c r="B44" s="145">
        <v>2031</v>
      </c>
      <c r="C44" s="145" t="s">
        <v>10</v>
      </c>
      <c r="D44" s="146">
        <v>47849</v>
      </c>
    </row>
    <row r="45" spans="1:4">
      <c r="A45" s="145">
        <v>43</v>
      </c>
      <c r="B45" s="145">
        <v>2031</v>
      </c>
      <c r="C45" s="145" t="s">
        <v>11</v>
      </c>
      <c r="D45" s="146">
        <v>47994</v>
      </c>
    </row>
    <row r="46" spans="1:4">
      <c r="A46" s="145">
        <v>44</v>
      </c>
      <c r="B46" s="145">
        <v>2031</v>
      </c>
      <c r="C46" s="145" t="s">
        <v>12</v>
      </c>
      <c r="D46" s="146">
        <v>48033</v>
      </c>
    </row>
    <row r="47" spans="1:4">
      <c r="A47" s="145">
        <v>45</v>
      </c>
      <c r="B47" s="145">
        <v>2031</v>
      </c>
      <c r="C47" s="145" t="s">
        <v>13</v>
      </c>
      <c r="D47" s="146">
        <v>48092</v>
      </c>
    </row>
    <row r="48" spans="1:4">
      <c r="A48" s="145">
        <v>46</v>
      </c>
      <c r="B48" s="145">
        <v>2031</v>
      </c>
      <c r="C48" s="145" t="s">
        <v>14</v>
      </c>
      <c r="D48" s="146">
        <v>48179</v>
      </c>
    </row>
    <row r="49" spans="1:4">
      <c r="A49" s="145">
        <v>47</v>
      </c>
      <c r="B49" s="145">
        <v>2031</v>
      </c>
      <c r="C49" s="145" t="s">
        <v>15</v>
      </c>
      <c r="D49" s="146">
        <v>48180</v>
      </c>
    </row>
    <row r="50" spans="1:4">
      <c r="A50" s="145">
        <v>48</v>
      </c>
      <c r="B50" s="145">
        <v>2031</v>
      </c>
      <c r="C50" s="145" t="s">
        <v>16</v>
      </c>
      <c r="D50" s="146">
        <v>48207</v>
      </c>
    </row>
    <row r="51" spans="1:4">
      <c r="A51" s="145">
        <v>49</v>
      </c>
      <c r="B51" s="145">
        <v>2032</v>
      </c>
      <c r="C51" s="145" t="s">
        <v>10</v>
      </c>
      <c r="D51" s="146">
        <v>48214</v>
      </c>
    </row>
    <row r="52" spans="1:4">
      <c r="A52" s="145">
        <v>50</v>
      </c>
      <c r="B52" s="145">
        <v>2032</v>
      </c>
      <c r="C52" s="145" t="s">
        <v>11</v>
      </c>
      <c r="D52" s="146">
        <v>48365</v>
      </c>
    </row>
    <row r="53" spans="1:4">
      <c r="A53" s="145">
        <v>51</v>
      </c>
      <c r="B53" s="145">
        <v>2032</v>
      </c>
      <c r="C53" s="145" t="s">
        <v>12</v>
      </c>
      <c r="D53" s="146">
        <v>48400</v>
      </c>
    </row>
    <row r="54" spans="1:4">
      <c r="A54" s="145">
        <v>52</v>
      </c>
      <c r="B54" s="145">
        <v>2032</v>
      </c>
      <c r="C54" s="145" t="s">
        <v>13</v>
      </c>
      <c r="D54" s="146">
        <v>48463</v>
      </c>
    </row>
    <row r="55" spans="1:4">
      <c r="A55" s="145">
        <v>53</v>
      </c>
      <c r="B55" s="145">
        <v>2032</v>
      </c>
      <c r="C55" s="145" t="s">
        <v>14</v>
      </c>
      <c r="D55" s="146">
        <v>48543</v>
      </c>
    </row>
    <row r="56" spans="1:4">
      <c r="A56" s="145">
        <v>54</v>
      </c>
      <c r="B56" s="145">
        <v>2032</v>
      </c>
      <c r="C56" s="145" t="s">
        <v>15</v>
      </c>
      <c r="D56" s="146">
        <v>48544</v>
      </c>
    </row>
    <row r="57" spans="1:4">
      <c r="A57" s="145">
        <v>55</v>
      </c>
      <c r="B57" s="145">
        <v>2032</v>
      </c>
      <c r="C57" s="145" t="s">
        <v>16</v>
      </c>
      <c r="D57" s="146">
        <v>48575</v>
      </c>
    </row>
    <row r="58" spans="1:4">
      <c r="A58" s="145">
        <v>56</v>
      </c>
      <c r="B58" s="145">
        <v>2033</v>
      </c>
      <c r="C58" s="145" t="s">
        <v>10</v>
      </c>
      <c r="D58" s="146">
        <v>48582</v>
      </c>
    </row>
    <row r="59" spans="1:4">
      <c r="A59" s="145">
        <v>57</v>
      </c>
      <c r="B59" s="145">
        <v>2033</v>
      </c>
      <c r="C59" s="145" t="s">
        <v>11</v>
      </c>
      <c r="D59" s="146">
        <v>48729</v>
      </c>
    </row>
    <row r="60" spans="1:4">
      <c r="A60" s="145">
        <v>58</v>
      </c>
      <c r="B60" s="145">
        <v>2033</v>
      </c>
      <c r="C60" s="145" t="s">
        <v>12</v>
      </c>
      <c r="D60" s="146">
        <v>48764</v>
      </c>
    </row>
    <row r="61" spans="1:4">
      <c r="A61" s="145">
        <v>59</v>
      </c>
      <c r="B61" s="145">
        <v>2033</v>
      </c>
      <c r="C61" s="145" t="s">
        <v>13</v>
      </c>
      <c r="D61" s="146">
        <v>48827</v>
      </c>
    </row>
    <row r="62" spans="1:4">
      <c r="A62" s="145">
        <v>60</v>
      </c>
      <c r="B62" s="145">
        <v>2033</v>
      </c>
      <c r="C62" s="145" t="s">
        <v>14</v>
      </c>
      <c r="D62" s="146">
        <v>48907</v>
      </c>
    </row>
    <row r="63" spans="1:4">
      <c r="A63" s="145">
        <v>61</v>
      </c>
      <c r="B63" s="145">
        <v>2033</v>
      </c>
      <c r="C63" s="145" t="s">
        <v>15</v>
      </c>
      <c r="D63" s="146">
        <v>48908</v>
      </c>
    </row>
    <row r="64" spans="1:4">
      <c r="A64" s="145">
        <v>62</v>
      </c>
      <c r="B64" s="145">
        <v>2033</v>
      </c>
      <c r="C64" s="145" t="s">
        <v>16</v>
      </c>
      <c r="D64" s="146">
        <v>48939</v>
      </c>
    </row>
    <row r="65" spans="1:4">
      <c r="A65" s="145">
        <v>63</v>
      </c>
      <c r="B65" s="145">
        <v>2034</v>
      </c>
      <c r="C65" s="145" t="s">
        <v>10</v>
      </c>
      <c r="D65" s="146">
        <v>48946</v>
      </c>
    </row>
    <row r="66" spans="1:4">
      <c r="A66" s="145">
        <v>64</v>
      </c>
      <c r="B66" s="145">
        <v>2034</v>
      </c>
      <c r="C66" s="145" t="s">
        <v>11</v>
      </c>
      <c r="D66" s="146">
        <v>49093</v>
      </c>
    </row>
    <row r="67" spans="1:4">
      <c r="A67" s="145">
        <v>65</v>
      </c>
      <c r="B67" s="145">
        <v>2034</v>
      </c>
      <c r="C67" s="145" t="s">
        <v>12</v>
      </c>
      <c r="D67" s="146">
        <v>49129</v>
      </c>
    </row>
    <row r="68" spans="1:4">
      <c r="A68" s="145">
        <v>66</v>
      </c>
      <c r="B68" s="145">
        <v>2034</v>
      </c>
      <c r="C68" s="145" t="s">
        <v>13</v>
      </c>
      <c r="D68" s="146">
        <v>49191</v>
      </c>
    </row>
    <row r="69" spans="1:4">
      <c r="A69" s="145">
        <v>67</v>
      </c>
      <c r="B69" s="145">
        <v>2034</v>
      </c>
      <c r="C69" s="145" t="s">
        <v>14</v>
      </c>
      <c r="D69" s="146">
        <v>49271</v>
      </c>
    </row>
    <row r="70" spans="1:4">
      <c r="A70" s="145">
        <v>68</v>
      </c>
      <c r="B70" s="145">
        <v>2034</v>
      </c>
      <c r="C70" s="145" t="s">
        <v>15</v>
      </c>
      <c r="D70" s="146">
        <v>49272</v>
      </c>
    </row>
    <row r="71" spans="1:4">
      <c r="A71" s="145">
        <v>69</v>
      </c>
      <c r="B71" s="145">
        <v>2034</v>
      </c>
      <c r="C71" s="145" t="s">
        <v>16</v>
      </c>
      <c r="D71" s="146">
        <v>49303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9F11E-765D-44E3-BC04-92EB145E4EF4}">
  <sheetPr>
    <pageSetUpPr fitToPage="1"/>
  </sheetPr>
  <dimension ref="B2:R81"/>
  <sheetViews>
    <sheetView view="pageBreakPreview" zoomScale="85" zoomScaleNormal="55" zoomScaleSheetLayoutView="85" workbookViewId="0">
      <pane ySplit="9" topLeftCell="A10" activePane="bottomLeft" state="frozen"/>
      <selection activeCell="M6" sqref="M6"/>
      <selection pane="bottomLeft" activeCell="M6" sqref="M6"/>
    </sheetView>
  </sheetViews>
  <sheetFormatPr defaultColWidth="11" defaultRowHeight="13.5"/>
  <cols>
    <col min="1" max="1" width="8.7109375" style="7" customWidth="1"/>
    <col min="2" max="2" width="1.85546875" style="7" customWidth="1"/>
    <col min="3" max="3" width="17" style="7" customWidth="1"/>
    <col min="4" max="4" width="42.85546875" style="7" customWidth="1"/>
    <col min="5" max="5" width="25.140625" style="7" customWidth="1"/>
    <col min="6" max="6" width="17" style="7" customWidth="1"/>
    <col min="7" max="7" width="10.7109375" style="7" customWidth="1"/>
    <col min="8" max="10" width="17" style="7" customWidth="1"/>
    <col min="11" max="11" width="1.85546875" style="7" customWidth="1"/>
    <col min="12" max="12" width="11.140625" style="7" customWidth="1"/>
    <col min="13" max="13" width="23.140625" style="7" bestFit="1" customWidth="1"/>
    <col min="14" max="14" width="11" style="7" customWidth="1"/>
    <col min="15" max="16384" width="11" style="7"/>
  </cols>
  <sheetData>
    <row r="2" spans="2:11" ht="15" customHeight="1" thickBot="1">
      <c r="C2" s="121" t="str">
        <f>'STEP 1 - PROJECT DATA'!D6&amp; "." &amp; 'STEP 1 - PROJECT DATA'!D7</f>
        <v>E26-123.0</v>
      </c>
      <c r="D2" s="3"/>
      <c r="E2" s="3"/>
      <c r="F2" s="3"/>
      <c r="G2" s="3"/>
      <c r="H2" s="3"/>
      <c r="I2" s="122" t="str">
        <f>'STEP 4 - ESTIMATE'!I2</f>
        <v>Bid Due Date</v>
      </c>
      <c r="J2" s="123">
        <f>'STEP 4 - ESTIMATE'!K2</f>
        <v>46010</v>
      </c>
    </row>
    <row r="3" spans="2:11" ht="16.5">
      <c r="B3" s="8"/>
      <c r="C3" s="124" t="str">
        <f>'STEP 1 - PROJECT DATA'!C5</f>
        <v>Project Name</v>
      </c>
      <c r="D3" s="125" t="str">
        <f>'STEP 1 - PROJECT DATA'!D5</f>
        <v>Name</v>
      </c>
      <c r="E3" s="454"/>
      <c r="F3" s="454"/>
      <c r="G3" s="454"/>
      <c r="H3" s="446" t="str">
        <f>'STEP 1 - PROJECT DATA'!C10</f>
        <v>Expected Start</v>
      </c>
      <c r="I3" s="446"/>
      <c r="J3" s="126">
        <f>'STEP 4 - ESTIMATE'!K3</f>
        <v>46174</v>
      </c>
      <c r="K3" s="11"/>
    </row>
    <row r="4" spans="2:11" ht="16.5">
      <c r="B4" s="12"/>
      <c r="C4" s="121" t="s">
        <v>17</v>
      </c>
      <c r="D4" s="3" t="str">
        <f>'STEP 1 - PROJECT DATA'!D8</f>
        <v>1234 Main St</v>
      </c>
      <c r="E4" s="455"/>
      <c r="F4" s="455"/>
      <c r="G4" s="455"/>
      <c r="H4" s="447" t="str">
        <f>'STEP 1 - PROJECT DATA'!C11</f>
        <v>Expected Finish</v>
      </c>
      <c r="I4" s="447"/>
      <c r="J4" s="127">
        <f>'STEP 4 - ESTIMATE'!K4</f>
        <v>46235</v>
      </c>
      <c r="K4" s="13"/>
    </row>
    <row r="5" spans="2:11" ht="16.5">
      <c r="B5" s="12"/>
      <c r="C5" s="121"/>
      <c r="D5" s="3" t="str">
        <f>'STEP 1 - PROJECT DATA'!D9</f>
        <v>Minneapolis, MN</v>
      </c>
      <c r="E5" s="3"/>
      <c r="H5" s="447" t="s">
        <v>18</v>
      </c>
      <c r="I5" s="447"/>
      <c r="J5" s="130">
        <f>'STEP 1 - PROJECT DATA'!D28</f>
        <v>2</v>
      </c>
      <c r="K5" s="13"/>
    </row>
    <row r="6" spans="2:11" ht="16.5">
      <c r="B6" s="12"/>
      <c r="C6" s="121" t="str">
        <f>'STEP 1 - PROJECT DATA'!C13</f>
        <v>Architect</v>
      </c>
      <c r="D6" s="3" t="str">
        <f>'STEP 1 - PROJECT DATA'!D13</f>
        <v>TBD</v>
      </c>
      <c r="E6" s="3"/>
      <c r="F6" s="3"/>
      <c r="G6" s="3"/>
      <c r="H6" s="3"/>
      <c r="I6" s="3"/>
      <c r="J6" s="3"/>
      <c r="K6" s="13"/>
    </row>
    <row r="7" spans="2:11" ht="16.5">
      <c r="B7" s="12"/>
      <c r="C7" s="121" t="str">
        <f>'STEP 1 - PROJECT DATA'!C14</f>
        <v>Plan Set</v>
      </c>
      <c r="D7" s="3" t="str">
        <f>'STEP 1 - PROJECT DATA'!D14</f>
        <v>TBD</v>
      </c>
      <c r="E7" s="3"/>
      <c r="F7" s="3"/>
      <c r="G7" s="3"/>
      <c r="H7" s="3"/>
      <c r="I7" s="3"/>
      <c r="J7" s="3"/>
      <c r="K7" s="13"/>
    </row>
    <row r="8" spans="2:11" ht="17.25" thickBot="1">
      <c r="B8" s="12"/>
      <c r="C8" s="3"/>
      <c r="D8" s="3"/>
      <c r="E8" s="3"/>
      <c r="F8" s="3"/>
      <c r="G8" s="3"/>
      <c r="H8" s="3"/>
      <c r="I8" s="3"/>
      <c r="J8" s="3"/>
      <c r="K8" s="13"/>
    </row>
    <row r="9" spans="2:11" ht="17.25" thickBot="1">
      <c r="B9" s="12"/>
      <c r="C9" s="319"/>
      <c r="D9" s="345"/>
      <c r="E9" s="345"/>
      <c r="F9" s="345"/>
      <c r="G9" s="345"/>
      <c r="H9" s="345"/>
      <c r="I9" s="345"/>
      <c r="J9" s="344"/>
      <c r="K9" s="52"/>
    </row>
    <row r="10" spans="2:11" ht="16.5" customHeight="1">
      <c r="B10" s="12"/>
      <c r="C10" s="343"/>
      <c r="D10" s="342"/>
      <c r="E10" s="342"/>
      <c r="F10" s="342"/>
      <c r="G10" s="342"/>
      <c r="H10" s="342"/>
      <c r="I10" s="342"/>
      <c r="J10" s="341"/>
      <c r="K10" s="13"/>
    </row>
    <row r="11" spans="2:11" ht="14.1" customHeight="1">
      <c r="B11" s="12"/>
      <c r="C11" s="339"/>
      <c r="D11" s="338"/>
      <c r="E11" s="338"/>
      <c r="F11" s="338"/>
      <c r="G11" s="338"/>
      <c r="H11" s="338"/>
      <c r="I11" s="338"/>
      <c r="J11" s="337"/>
      <c r="K11" s="13"/>
    </row>
    <row r="12" spans="2:11" ht="13.5" customHeight="1">
      <c r="B12" s="12"/>
      <c r="C12" s="339"/>
      <c r="D12" s="338"/>
      <c r="E12" s="338"/>
      <c r="F12" s="338"/>
      <c r="G12" s="338"/>
      <c r="H12" s="338"/>
      <c r="I12" s="338"/>
      <c r="J12" s="337"/>
      <c r="K12" s="13"/>
    </row>
    <row r="13" spans="2:11" ht="14.1" customHeight="1">
      <c r="B13" s="12"/>
      <c r="C13" s="339"/>
      <c r="D13" s="338"/>
      <c r="E13" s="338"/>
      <c r="F13" s="338"/>
      <c r="G13" s="338"/>
      <c r="H13" s="338"/>
      <c r="I13" s="338"/>
      <c r="J13" s="337"/>
      <c r="K13" s="13"/>
    </row>
    <row r="14" spans="2:11" ht="14.1" customHeight="1">
      <c r="B14" s="12"/>
      <c r="C14" s="339"/>
      <c r="D14" s="338"/>
      <c r="E14" s="338"/>
      <c r="F14" s="338"/>
      <c r="G14" s="338"/>
      <c r="H14" s="338"/>
      <c r="I14" s="338"/>
      <c r="J14" s="337"/>
      <c r="K14" s="13"/>
    </row>
    <row r="15" spans="2:11" ht="14.1" customHeight="1">
      <c r="B15" s="12"/>
      <c r="C15" s="339"/>
      <c r="D15" s="338"/>
      <c r="E15" s="338"/>
      <c r="F15" s="338"/>
      <c r="G15" s="338"/>
      <c r="H15" s="338"/>
      <c r="I15" s="338"/>
      <c r="J15" s="337"/>
      <c r="K15" s="13"/>
    </row>
    <row r="16" spans="2:11" ht="14.1" customHeight="1">
      <c r="B16" s="12"/>
      <c r="C16" s="339"/>
      <c r="D16" s="338"/>
      <c r="E16" s="338"/>
      <c r="F16" s="338"/>
      <c r="G16" s="338"/>
      <c r="H16" s="338"/>
      <c r="I16" s="338"/>
      <c r="J16" s="337"/>
      <c r="K16" s="13"/>
    </row>
    <row r="17" spans="2:11" ht="14.1" customHeight="1">
      <c r="B17" s="12"/>
      <c r="C17" s="339"/>
      <c r="D17" s="338"/>
      <c r="E17" s="338"/>
      <c r="F17" s="338"/>
      <c r="G17" s="338"/>
      <c r="H17" s="338"/>
      <c r="I17" s="338"/>
      <c r="J17" s="337"/>
      <c r="K17" s="13"/>
    </row>
    <row r="18" spans="2:11" ht="14.1" customHeight="1">
      <c r="B18" s="12"/>
      <c r="C18" s="339"/>
      <c r="D18" s="338"/>
      <c r="E18" s="338"/>
      <c r="F18" s="338"/>
      <c r="G18" s="338"/>
      <c r="H18" s="338"/>
      <c r="I18" s="338"/>
      <c r="J18" s="337"/>
      <c r="K18" s="13"/>
    </row>
    <row r="19" spans="2:11" ht="14.1" customHeight="1">
      <c r="B19" s="12"/>
      <c r="C19" s="339"/>
      <c r="D19" s="338"/>
      <c r="E19" s="338"/>
      <c r="F19" s="338"/>
      <c r="G19" s="338"/>
      <c r="H19" s="338"/>
      <c r="I19" s="338"/>
      <c r="J19" s="337"/>
      <c r="K19" s="13"/>
    </row>
    <row r="20" spans="2:11" ht="14.1" customHeight="1">
      <c r="B20" s="12"/>
      <c r="C20" s="339"/>
      <c r="D20" s="338"/>
      <c r="E20" s="338"/>
      <c r="F20" s="338"/>
      <c r="G20" s="338"/>
      <c r="H20" s="338"/>
      <c r="I20" s="338"/>
      <c r="J20" s="337"/>
      <c r="K20" s="13"/>
    </row>
    <row r="21" spans="2:11" ht="14.1" customHeight="1">
      <c r="B21" s="12"/>
      <c r="C21" s="339"/>
      <c r="D21" s="338"/>
      <c r="E21" s="338"/>
      <c r="F21" s="338"/>
      <c r="G21" s="338"/>
      <c r="H21" s="338"/>
      <c r="I21" s="338"/>
      <c r="J21" s="337"/>
      <c r="K21" s="13"/>
    </row>
    <row r="22" spans="2:11" ht="14.1" customHeight="1">
      <c r="B22" s="12"/>
      <c r="C22" s="339"/>
      <c r="D22" s="338"/>
      <c r="E22" s="338"/>
      <c r="F22" s="338"/>
      <c r="G22" s="338"/>
      <c r="H22" s="338"/>
      <c r="I22" s="338"/>
      <c r="J22" s="337"/>
      <c r="K22" s="13"/>
    </row>
    <row r="23" spans="2:11" ht="14.1" customHeight="1">
      <c r="B23" s="12"/>
      <c r="C23" s="339"/>
      <c r="D23" s="338"/>
      <c r="E23" s="338"/>
      <c r="F23" s="338"/>
      <c r="G23" s="338"/>
      <c r="H23" s="338"/>
      <c r="I23" s="338"/>
      <c r="J23" s="337"/>
      <c r="K23" s="13"/>
    </row>
    <row r="24" spans="2:11" ht="14.1" customHeight="1">
      <c r="B24" s="12"/>
      <c r="C24" s="339"/>
      <c r="D24" s="338"/>
      <c r="E24" s="338"/>
      <c r="F24" s="338"/>
      <c r="G24" s="338"/>
      <c r="H24" s="338"/>
      <c r="I24" s="338"/>
      <c r="J24" s="337"/>
      <c r="K24" s="13"/>
    </row>
    <row r="25" spans="2:11" ht="14.1" customHeight="1">
      <c r="B25" s="12"/>
      <c r="C25" s="339"/>
      <c r="D25" s="338"/>
      <c r="E25" s="338"/>
      <c r="F25" s="338"/>
      <c r="G25" s="338"/>
      <c r="H25" s="338"/>
      <c r="I25" s="338"/>
      <c r="J25" s="337"/>
      <c r="K25" s="13"/>
    </row>
    <row r="26" spans="2:11" ht="14.1" customHeight="1">
      <c r="B26" s="12"/>
      <c r="C26" s="339"/>
      <c r="D26" s="338"/>
      <c r="E26" s="338"/>
      <c r="F26" s="338"/>
      <c r="G26" s="338"/>
      <c r="H26" s="338"/>
      <c r="I26" s="338"/>
      <c r="J26" s="337"/>
      <c r="K26" s="13"/>
    </row>
    <row r="27" spans="2:11" ht="14.1" customHeight="1">
      <c r="B27" s="12"/>
      <c r="C27" s="339"/>
      <c r="D27" s="338"/>
      <c r="E27" s="338"/>
      <c r="F27" s="338"/>
      <c r="G27" s="338"/>
      <c r="H27" s="338"/>
      <c r="I27" s="338"/>
      <c r="J27" s="337"/>
      <c r="K27" s="13"/>
    </row>
    <row r="28" spans="2:11" ht="14.1" customHeight="1">
      <c r="B28" s="12"/>
      <c r="C28" s="339"/>
      <c r="D28" s="338"/>
      <c r="E28" s="338"/>
      <c r="F28" s="338"/>
      <c r="G28" s="338"/>
      <c r="H28" s="338"/>
      <c r="I28" s="338"/>
      <c r="J28" s="337"/>
      <c r="K28" s="13"/>
    </row>
    <row r="29" spans="2:11" ht="17.25">
      <c r="B29" s="12"/>
      <c r="C29" s="448" t="str">
        <f>'STEP 1 - PROJECT DATA'!D5</f>
        <v>Name</v>
      </c>
      <c r="D29" s="449"/>
      <c r="E29" s="449"/>
      <c r="F29" s="449"/>
      <c r="G29" s="449"/>
      <c r="H29" s="449"/>
      <c r="I29" s="449"/>
      <c r="J29" s="450"/>
      <c r="K29" s="66"/>
    </row>
    <row r="30" spans="2:11">
      <c r="B30" s="12"/>
      <c r="C30" s="448"/>
      <c r="D30" s="449"/>
      <c r="E30" s="449"/>
      <c r="F30" s="449"/>
      <c r="G30" s="449"/>
      <c r="H30" s="449"/>
      <c r="I30" s="449"/>
      <c r="J30" s="450"/>
      <c r="K30" s="13"/>
    </row>
    <row r="31" spans="2:11" ht="13.5" customHeight="1">
      <c r="B31" s="12"/>
      <c r="C31" s="448" t="str">
        <f>'STEP 1 - PROJECT DATA'!D8</f>
        <v>1234 Main St</v>
      </c>
      <c r="D31" s="449"/>
      <c r="E31" s="449"/>
      <c r="F31" s="449"/>
      <c r="G31" s="449"/>
      <c r="H31" s="449"/>
      <c r="I31" s="449"/>
      <c r="J31" s="450"/>
      <c r="K31" s="13"/>
    </row>
    <row r="32" spans="2:11" ht="14.1" customHeight="1">
      <c r="B32" s="12"/>
      <c r="C32" s="448"/>
      <c r="D32" s="449"/>
      <c r="E32" s="449"/>
      <c r="F32" s="449"/>
      <c r="G32" s="449"/>
      <c r="H32" s="449"/>
      <c r="I32" s="449"/>
      <c r="J32" s="450"/>
      <c r="K32" s="13"/>
    </row>
    <row r="33" spans="2:18" ht="20.25" customHeight="1">
      <c r="B33" s="12"/>
      <c r="C33" s="448" t="str">
        <f>'STEP 1 - PROJECT DATA'!D9</f>
        <v>Minneapolis, MN</v>
      </c>
      <c r="D33" s="449"/>
      <c r="E33" s="449"/>
      <c r="F33" s="449"/>
      <c r="G33" s="449"/>
      <c r="H33" s="449"/>
      <c r="I33" s="449"/>
      <c r="J33" s="450"/>
      <c r="K33" s="13"/>
      <c r="R33" s="340"/>
    </row>
    <row r="34" spans="2:18" ht="14.1" customHeight="1">
      <c r="B34" s="12"/>
      <c r="C34" s="448"/>
      <c r="D34" s="449"/>
      <c r="E34" s="449"/>
      <c r="F34" s="449"/>
      <c r="G34" s="449"/>
      <c r="H34" s="449"/>
      <c r="I34" s="449"/>
      <c r="J34" s="450"/>
      <c r="K34" s="13"/>
      <c r="R34" s="340"/>
    </row>
    <row r="35" spans="2:18" ht="14.1" customHeight="1">
      <c r="B35" s="12"/>
      <c r="C35" s="349"/>
      <c r="D35" s="347"/>
      <c r="E35" s="347"/>
      <c r="F35" s="347"/>
      <c r="G35" s="347"/>
      <c r="H35" s="347"/>
      <c r="I35" s="347"/>
      <c r="J35" s="348"/>
      <c r="K35" s="13"/>
      <c r="R35" s="340"/>
    </row>
    <row r="36" spans="2:18" ht="17.25" customHeight="1">
      <c r="B36" s="12"/>
      <c r="C36" s="349"/>
      <c r="D36" s="347"/>
      <c r="E36" s="347"/>
      <c r="F36" s="347"/>
      <c r="G36" s="347"/>
      <c r="H36" s="347"/>
      <c r="I36" s="347"/>
      <c r="J36" s="348"/>
      <c r="K36" s="66"/>
    </row>
    <row r="37" spans="2:18" ht="13.5" customHeight="1">
      <c r="B37" s="12"/>
      <c r="C37" s="349"/>
      <c r="D37" s="347"/>
      <c r="E37" s="347"/>
      <c r="F37" s="347"/>
      <c r="G37" s="347"/>
      <c r="H37" s="347"/>
      <c r="I37" s="347"/>
      <c r="J37" s="348"/>
      <c r="K37" s="13"/>
    </row>
    <row r="38" spans="2:18" ht="14.1" customHeight="1">
      <c r="B38" s="12"/>
      <c r="C38" s="339"/>
      <c r="D38" s="338"/>
      <c r="E38" s="338"/>
      <c r="F38" s="338"/>
      <c r="G38" s="338"/>
      <c r="H38" s="338"/>
      <c r="I38" s="338"/>
      <c r="J38" s="337"/>
      <c r="K38" s="13"/>
    </row>
    <row r="39" spans="2:18" ht="14.1" customHeight="1">
      <c r="B39" s="12"/>
      <c r="C39" s="339"/>
      <c r="D39" s="338"/>
      <c r="E39" s="338"/>
      <c r="F39" s="338"/>
      <c r="G39" s="338"/>
      <c r="H39" s="338"/>
      <c r="I39" s="338"/>
      <c r="J39" s="337"/>
      <c r="K39" s="13"/>
    </row>
    <row r="40" spans="2:18" ht="14.1" customHeight="1">
      <c r="B40" s="12"/>
      <c r="C40" s="448">
        <f>'STEP 1 - PROJECT DATA'!G5</f>
        <v>0</v>
      </c>
      <c r="D40" s="449"/>
      <c r="E40" s="449"/>
      <c r="F40" s="449"/>
      <c r="G40" s="449"/>
      <c r="H40" s="449"/>
      <c r="I40" s="449"/>
      <c r="J40" s="450"/>
      <c r="K40" s="13"/>
    </row>
    <row r="41" spans="2:18" ht="17.25">
      <c r="B41" s="12"/>
      <c r="C41" s="448"/>
      <c r="D41" s="449"/>
      <c r="E41" s="449"/>
      <c r="F41" s="449"/>
      <c r="G41" s="449"/>
      <c r="H41" s="449"/>
      <c r="I41" s="449"/>
      <c r="J41" s="450"/>
      <c r="K41" s="66"/>
    </row>
    <row r="42" spans="2:18" ht="13.5" customHeight="1">
      <c r="B42" s="12"/>
      <c r="C42" s="448">
        <f>'STEP 1 - PROJECT DATA'!G6</f>
        <v>0</v>
      </c>
      <c r="D42" s="449"/>
      <c r="E42" s="449"/>
      <c r="F42" s="449"/>
      <c r="G42" s="449"/>
      <c r="H42" s="449"/>
      <c r="I42" s="449"/>
      <c r="J42" s="450"/>
      <c r="K42" s="13"/>
    </row>
    <row r="43" spans="2:18" ht="14.1" customHeight="1">
      <c r="B43" s="12"/>
      <c r="C43" s="448"/>
      <c r="D43" s="449"/>
      <c r="E43" s="449"/>
      <c r="F43" s="449"/>
      <c r="G43" s="449"/>
      <c r="H43" s="449"/>
      <c r="I43" s="449"/>
      <c r="J43" s="450"/>
      <c r="K43" s="13"/>
    </row>
    <row r="44" spans="2:18" ht="14.1" customHeight="1">
      <c r="B44" s="12"/>
      <c r="C44" s="346"/>
      <c r="D44" s="353"/>
      <c r="E44" s="353"/>
      <c r="F44" s="353"/>
      <c r="G44" s="353"/>
      <c r="H44" s="353"/>
      <c r="I44" s="353"/>
      <c r="J44" s="354"/>
      <c r="K44" s="13"/>
    </row>
    <row r="45" spans="2:18" ht="14.1" customHeight="1">
      <c r="B45" s="12"/>
      <c r="C45" s="333"/>
      <c r="D45" s="332"/>
      <c r="E45" s="332"/>
      <c r="F45" s="332"/>
      <c r="G45" s="332"/>
      <c r="H45" s="332"/>
      <c r="I45" s="332"/>
      <c r="J45" s="331"/>
      <c r="K45" s="13"/>
    </row>
    <row r="46" spans="2:18" ht="17.25">
      <c r="B46" s="12"/>
      <c r="C46" s="333"/>
      <c r="D46" s="332"/>
      <c r="E46" s="332"/>
      <c r="F46" s="332"/>
      <c r="G46" s="332"/>
      <c r="H46" s="332"/>
      <c r="I46" s="332"/>
      <c r="J46" s="331"/>
      <c r="K46" s="66"/>
    </row>
    <row r="47" spans="2:18" ht="13.5" customHeight="1">
      <c r="B47" s="12"/>
      <c r="C47" s="333"/>
      <c r="D47" s="332"/>
      <c r="E47" s="332"/>
      <c r="F47" s="332"/>
      <c r="G47" s="332"/>
      <c r="H47" s="332"/>
      <c r="I47" s="332"/>
      <c r="J47" s="331"/>
      <c r="K47" s="13"/>
    </row>
    <row r="48" spans="2:18" ht="14.1" customHeight="1">
      <c r="B48" s="12"/>
      <c r="C48" s="333"/>
      <c r="D48" s="332"/>
      <c r="E48" s="332"/>
      <c r="F48" s="332"/>
      <c r="G48" s="332"/>
      <c r="H48" s="332"/>
      <c r="I48" s="332"/>
      <c r="J48" s="331"/>
      <c r="K48" s="13"/>
    </row>
    <row r="49" spans="2:11" ht="14.1" customHeight="1">
      <c r="B49" s="12"/>
      <c r="C49" s="333"/>
      <c r="D49" s="332"/>
      <c r="E49" s="332"/>
      <c r="F49" s="332"/>
      <c r="G49" s="332"/>
      <c r="H49" s="332"/>
      <c r="I49" s="332"/>
      <c r="J49" s="331"/>
      <c r="K49" s="13"/>
    </row>
    <row r="50" spans="2:11" ht="14.1" customHeight="1">
      <c r="B50" s="12"/>
      <c r="C50" s="333"/>
      <c r="D50" s="332"/>
      <c r="E50" s="332"/>
      <c r="F50" s="332"/>
      <c r="G50" s="332"/>
      <c r="H50" s="332"/>
      <c r="I50" s="332"/>
      <c r="J50" s="331"/>
      <c r="K50" s="13"/>
    </row>
    <row r="51" spans="2:11" ht="14.1" customHeight="1">
      <c r="B51" s="12"/>
      <c r="C51" s="333"/>
      <c r="D51" s="332"/>
      <c r="E51" s="332"/>
      <c r="F51" s="332"/>
      <c r="G51" s="332"/>
      <c r="H51" s="332"/>
      <c r="I51" s="332"/>
      <c r="J51" s="331"/>
      <c r="K51" s="13"/>
    </row>
    <row r="52" spans="2:11" ht="17.25">
      <c r="B52" s="12"/>
      <c r="C52" s="333"/>
      <c r="D52" s="332"/>
      <c r="E52" s="332"/>
      <c r="F52" s="332"/>
      <c r="G52" s="332"/>
      <c r="H52" s="332"/>
      <c r="I52" s="332"/>
      <c r="J52" s="331"/>
      <c r="K52" s="66"/>
    </row>
    <row r="53" spans="2:11" ht="13.5" customHeight="1">
      <c r="B53" s="12"/>
      <c r="C53" s="333"/>
      <c r="D53" s="332"/>
      <c r="E53" s="332"/>
      <c r="F53" s="332"/>
      <c r="G53" s="332"/>
      <c r="H53" s="332"/>
      <c r="I53" s="332"/>
      <c r="J53" s="331"/>
      <c r="K53" s="13"/>
    </row>
    <row r="54" spans="2:11" ht="13.5" customHeight="1">
      <c r="B54" s="12"/>
      <c r="C54" s="333"/>
      <c r="D54" s="332"/>
      <c r="E54" s="332"/>
      <c r="F54" s="332"/>
      <c r="G54" s="332"/>
      <c r="H54" s="332"/>
      <c r="I54" s="332"/>
      <c r="J54" s="331"/>
      <c r="K54" s="13"/>
    </row>
    <row r="55" spans="2:11" ht="13.5" customHeight="1">
      <c r="B55" s="12"/>
      <c r="C55" s="333"/>
      <c r="D55" s="332"/>
      <c r="E55" s="332"/>
      <c r="F55" s="332"/>
      <c r="G55" s="332"/>
      <c r="H55" s="332"/>
      <c r="I55" s="332"/>
      <c r="J55" s="331"/>
      <c r="K55" s="13"/>
    </row>
    <row r="56" spans="2:11" ht="13.5" customHeight="1">
      <c r="B56" s="12"/>
      <c r="C56" s="333"/>
      <c r="D56" s="332"/>
      <c r="E56" s="332"/>
      <c r="F56" s="332"/>
      <c r="G56" s="332"/>
      <c r="H56" s="332"/>
      <c r="I56" s="332"/>
      <c r="J56" s="331"/>
      <c r="K56" s="13"/>
    </row>
    <row r="57" spans="2:11" ht="14.1" customHeight="1">
      <c r="B57" s="12"/>
      <c r="C57" s="333"/>
      <c r="D57" s="332"/>
      <c r="E57" s="332"/>
      <c r="F57" s="332"/>
      <c r="G57" s="332"/>
      <c r="H57" s="332"/>
      <c r="I57" s="332"/>
      <c r="J57" s="331"/>
      <c r="K57" s="13"/>
    </row>
    <row r="58" spans="2:11" ht="14.1" customHeight="1">
      <c r="B58" s="12"/>
      <c r="C58" s="333"/>
      <c r="D58" s="332"/>
      <c r="E58" s="332"/>
      <c r="F58" s="332"/>
      <c r="G58" s="332"/>
      <c r="H58" s="332"/>
      <c r="I58" s="332"/>
      <c r="J58" s="331"/>
      <c r="K58" s="13"/>
    </row>
    <row r="59" spans="2:11" ht="14.1" customHeight="1">
      <c r="B59" s="12"/>
      <c r="C59" s="333"/>
      <c r="D59" s="332"/>
      <c r="E59" s="332"/>
      <c r="F59" s="332"/>
      <c r="G59" s="332"/>
      <c r="H59" s="332"/>
      <c r="I59" s="332"/>
      <c r="J59" s="331"/>
      <c r="K59" s="13"/>
    </row>
    <row r="60" spans="2:11" ht="14.1" customHeight="1">
      <c r="B60" s="12"/>
      <c r="C60" s="333"/>
      <c r="D60" s="332"/>
      <c r="E60" s="332"/>
      <c r="F60" s="332"/>
      <c r="G60" s="332"/>
      <c r="H60" s="332"/>
      <c r="I60" s="332"/>
      <c r="J60" s="331"/>
      <c r="K60" s="13"/>
    </row>
    <row r="61" spans="2:11" ht="14.1" customHeight="1">
      <c r="B61" s="12"/>
      <c r="C61" s="333"/>
      <c r="D61" s="332"/>
      <c r="E61" s="332"/>
      <c r="F61" s="332"/>
      <c r="G61" s="332"/>
      <c r="H61" s="332"/>
      <c r="I61" s="332"/>
      <c r="J61" s="331"/>
      <c r="K61" s="13"/>
    </row>
    <row r="62" spans="2:11" ht="14.1" customHeight="1">
      <c r="B62" s="12"/>
      <c r="C62" s="333"/>
      <c r="D62" s="332"/>
      <c r="E62" s="332"/>
      <c r="F62" s="332"/>
      <c r="G62" s="332"/>
      <c r="H62" s="332"/>
      <c r="I62" s="332"/>
      <c r="J62" s="331"/>
      <c r="K62" s="13"/>
    </row>
    <row r="63" spans="2:11" ht="14.1" customHeight="1">
      <c r="B63" s="12"/>
      <c r="C63" s="333"/>
      <c r="D63" s="332"/>
      <c r="E63" s="332"/>
      <c r="F63" s="332"/>
      <c r="G63" s="332"/>
      <c r="H63" s="332"/>
      <c r="I63" s="332"/>
      <c r="J63" s="331"/>
      <c r="K63" s="13"/>
    </row>
    <row r="64" spans="2:11" ht="14.1" customHeight="1">
      <c r="B64" s="12"/>
      <c r="C64" s="333"/>
      <c r="D64" s="332"/>
      <c r="E64" s="332"/>
      <c r="F64" s="332"/>
      <c r="G64" s="332"/>
      <c r="H64" s="332"/>
      <c r="I64" s="332"/>
      <c r="J64" s="331"/>
      <c r="K64" s="13"/>
    </row>
    <row r="65" spans="2:11" ht="13.5" customHeight="1">
      <c r="B65" s="12"/>
      <c r="C65" s="333"/>
      <c r="D65" s="332"/>
      <c r="E65" s="332"/>
      <c r="F65" s="332"/>
      <c r="G65" s="332"/>
      <c r="H65" s="332"/>
      <c r="I65" s="332"/>
      <c r="J65" s="331"/>
      <c r="K65" s="13"/>
    </row>
    <row r="66" spans="2:11" ht="13.5" customHeight="1">
      <c r="B66" s="12"/>
      <c r="C66" s="333"/>
      <c r="D66" s="332"/>
      <c r="E66" s="332"/>
      <c r="F66" s="332"/>
      <c r="G66" s="332"/>
      <c r="H66" s="332"/>
      <c r="I66" s="332"/>
      <c r="J66" s="331"/>
      <c r="K66" s="13"/>
    </row>
    <row r="67" spans="2:11" ht="13.5" customHeight="1">
      <c r="B67" s="12"/>
      <c r="C67" s="333"/>
      <c r="D67" s="332"/>
      <c r="E67" s="332"/>
      <c r="F67" s="332"/>
      <c r="G67" s="332"/>
      <c r="H67" s="332"/>
      <c r="I67" s="332"/>
      <c r="J67" s="331"/>
      <c r="K67" s="13"/>
    </row>
    <row r="68" spans="2:11" ht="14.1" customHeight="1">
      <c r="B68" s="12"/>
      <c r="C68" s="333"/>
      <c r="D68" s="332"/>
      <c r="E68" s="332"/>
      <c r="F68" s="332"/>
      <c r="G68" s="332"/>
      <c r="H68" s="332"/>
      <c r="I68" s="332"/>
      <c r="J68" s="331"/>
      <c r="K68" s="13"/>
    </row>
    <row r="69" spans="2:11" ht="17.25">
      <c r="B69" s="12"/>
      <c r="C69" s="333"/>
      <c r="D69" s="332"/>
      <c r="E69" s="332"/>
      <c r="F69" s="332"/>
      <c r="G69" s="332"/>
      <c r="H69" s="332"/>
      <c r="I69" s="332"/>
      <c r="J69" s="331"/>
      <c r="K69" s="66"/>
    </row>
    <row r="70" spans="2:11" ht="13.5" customHeight="1" thickBot="1">
      <c r="B70" s="12"/>
      <c r="C70" s="333"/>
      <c r="D70" s="332"/>
      <c r="E70" s="332"/>
      <c r="F70" s="332"/>
      <c r="G70" s="332"/>
      <c r="H70" s="332"/>
      <c r="I70" s="332"/>
      <c r="J70" s="331"/>
      <c r="K70" s="13"/>
    </row>
    <row r="71" spans="2:11" ht="18.75" thickBot="1">
      <c r="B71" s="12"/>
      <c r="C71" s="333"/>
      <c r="D71" s="332"/>
      <c r="E71" s="451" t="s">
        <v>19</v>
      </c>
      <c r="F71" s="452"/>
      <c r="G71" s="452"/>
      <c r="H71" s="452"/>
      <c r="I71" s="453"/>
      <c r="J71" s="331"/>
      <c r="K71" s="13"/>
    </row>
    <row r="72" spans="2:11" ht="15.75">
      <c r="B72" s="12"/>
      <c r="C72" s="333"/>
      <c r="D72" s="332"/>
      <c r="E72" s="350"/>
      <c r="F72" s="351"/>
      <c r="G72" s="351"/>
      <c r="H72" s="351"/>
      <c r="I72" s="352"/>
      <c r="J72" s="331"/>
      <c r="K72" s="13"/>
    </row>
    <row r="73" spans="2:11" ht="15.75">
      <c r="B73" s="12"/>
      <c r="C73" s="333"/>
      <c r="D73" s="332"/>
      <c r="E73" s="333" t="str">
        <f>'STEP 1 - PROJECT DATA'!C18</f>
        <v>Prepared by</v>
      </c>
      <c r="G73" s="332">
        <f>'STEP 1 - PROJECT DATA'!D18</f>
        <v>0</v>
      </c>
      <c r="H73" s="332"/>
      <c r="I73" s="331"/>
      <c r="J73" s="331"/>
      <c r="K73" s="13"/>
    </row>
    <row r="74" spans="2:11" ht="15.75">
      <c r="B74" s="12"/>
      <c r="C74" s="333"/>
      <c r="D74" s="332"/>
      <c r="E74" s="333" t="str">
        <f>'STEP 1 - PROJECT DATA'!C19</f>
        <v>Phone Number</v>
      </c>
      <c r="G74" s="332" t="str">
        <f>'STEP 1 - PROJECT DATA'!D19</f>
        <v/>
      </c>
      <c r="H74" s="332"/>
      <c r="I74" s="331"/>
      <c r="J74" s="331"/>
      <c r="K74" s="13"/>
    </row>
    <row r="75" spans="2:11" ht="15.75">
      <c r="B75" s="12"/>
      <c r="C75" s="333"/>
      <c r="D75" s="332"/>
      <c r="E75" s="333" t="str">
        <f>'STEP 1 - PROJECT DATA'!C20</f>
        <v>Email Address</v>
      </c>
      <c r="G75" s="332" t="str">
        <f>'STEP 1 - PROJECT DATA'!D20</f>
        <v/>
      </c>
      <c r="H75" s="332"/>
      <c r="I75" s="331"/>
      <c r="J75" s="331"/>
      <c r="K75" s="13"/>
    </row>
    <row r="76" spans="2:11" ht="15.75">
      <c r="B76" s="12"/>
      <c r="C76" s="333"/>
      <c r="D76" s="332"/>
      <c r="E76" s="333" t="str">
        <f>'STEP 1 - PROJECT DATA'!C21</f>
        <v>FP Office</v>
      </c>
      <c r="G76" s="332" t="str">
        <f>'STEP 1 - PROJECT DATA'!D21</f>
        <v>10050 Crosstown Cir</v>
      </c>
      <c r="H76" s="332"/>
      <c r="I76" s="331"/>
      <c r="J76" s="331"/>
      <c r="K76" s="13"/>
    </row>
    <row r="77" spans="2:11" ht="16.5" thickBot="1">
      <c r="B77" s="12"/>
      <c r="C77" s="333"/>
      <c r="D77" s="332"/>
      <c r="E77" s="336" t="str">
        <f>'STEP 1 - PROJECT DATA'!C22</f>
        <v>City, State, Zip</v>
      </c>
      <c r="F77" s="39"/>
      <c r="G77" s="335" t="str">
        <f>'STEP 1 - PROJECT DATA'!D22</f>
        <v>Eden Prairie, MN 55344</v>
      </c>
      <c r="H77" s="335"/>
      <c r="I77" s="334"/>
      <c r="J77" s="331"/>
      <c r="K77" s="13"/>
    </row>
    <row r="78" spans="2:11" ht="14.1" customHeight="1">
      <c r="B78" s="12"/>
      <c r="C78" s="333"/>
      <c r="D78" s="332"/>
      <c r="E78" s="332"/>
      <c r="F78" s="332"/>
      <c r="G78" s="332"/>
      <c r="H78" s="332"/>
      <c r="I78" s="332"/>
      <c r="J78" s="331"/>
      <c r="K78" s="13"/>
    </row>
    <row r="79" spans="2:11" ht="18" thickBot="1">
      <c r="B79" s="12"/>
      <c r="C79" s="330"/>
      <c r="D79" s="329"/>
      <c r="E79" s="329"/>
      <c r="F79" s="329"/>
      <c r="G79" s="329"/>
      <c r="H79" s="329"/>
      <c r="I79" s="329"/>
      <c r="J79" s="328"/>
      <c r="K79" s="66"/>
    </row>
    <row r="80" spans="2:11" ht="14.25" thickBot="1">
      <c r="B80" s="38"/>
      <c r="C80" s="39"/>
      <c r="D80" s="39"/>
      <c r="E80" s="39"/>
      <c r="F80" s="39"/>
      <c r="G80" s="39"/>
      <c r="H80" s="39"/>
      <c r="I80" s="39"/>
      <c r="J80" s="39"/>
      <c r="K80" s="40"/>
    </row>
    <row r="81" ht="9.6" customHeight="1"/>
  </sheetData>
  <sheetProtection formatCells="0" formatColumns="0" formatRows="0" insertColumns="0" insertRows="0" insertHyperlinks="0" deleteColumns="0" deleteRows="0" sort="0" autoFilter="0" pivotTables="0"/>
  <mergeCells count="10">
    <mergeCell ref="C40:J41"/>
    <mergeCell ref="C42:J43"/>
    <mergeCell ref="E71:I71"/>
    <mergeCell ref="H3:I3"/>
    <mergeCell ref="H4:I4"/>
    <mergeCell ref="H5:I5"/>
    <mergeCell ref="C29:J30"/>
    <mergeCell ref="C31:J32"/>
    <mergeCell ref="C33:J34"/>
    <mergeCell ref="E3:G4"/>
  </mergeCells>
  <pageMargins left="0.2" right="0.2" top="0.25" bottom="0.25" header="0.3" footer="0.3"/>
  <pageSetup scale="63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0C37C-8BEB-4086-A41A-A5A9FE2753D4}">
  <sheetPr codeName="Sheet1">
    <pageSetUpPr fitToPage="1"/>
  </sheetPr>
  <dimension ref="B2:M87"/>
  <sheetViews>
    <sheetView showGridLines="0" zoomScale="85" zoomScaleNormal="85" workbookViewId="0">
      <selection activeCell="M6" sqref="M6"/>
    </sheetView>
  </sheetViews>
  <sheetFormatPr defaultColWidth="9.140625" defaultRowHeight="13.5"/>
  <cols>
    <col min="1" max="1" width="9.140625" style="7"/>
    <col min="2" max="2" width="1.85546875" style="7" customWidth="1"/>
    <col min="3" max="3" width="25" style="7" bestFit="1" customWidth="1"/>
    <col min="4" max="4" width="21.140625" style="7" customWidth="1"/>
    <col min="5" max="5" width="10.7109375" style="7" bestFit="1" customWidth="1"/>
    <col min="6" max="6" width="24.5703125" style="7" bestFit="1" customWidth="1"/>
    <col min="7" max="7" width="30.42578125" style="7" bestFit="1" customWidth="1"/>
    <col min="8" max="8" width="1.85546875" style="7" customWidth="1"/>
    <col min="9" max="9" width="8.85546875" style="7" customWidth="1"/>
    <col min="10" max="10" width="30.140625" style="7" bestFit="1" customWidth="1"/>
    <col min="11" max="11" width="19.28515625" style="7" customWidth="1"/>
    <col min="12" max="12" width="23.5703125" style="7" customWidth="1"/>
    <col min="13" max="13" width="64.140625" style="7" customWidth="1"/>
    <col min="14" max="16384" width="9.140625" style="7"/>
  </cols>
  <sheetData>
    <row r="2" spans="2:12" ht="14.25" thickBot="1"/>
    <row r="3" spans="2:12" ht="14.25" thickBot="1">
      <c r="B3" s="8"/>
      <c r="C3" s="9"/>
      <c r="D3" s="9"/>
      <c r="E3" s="9"/>
      <c r="F3" s="9"/>
      <c r="G3" s="10"/>
      <c r="H3" s="11"/>
      <c r="J3" s="26" t="s">
        <v>19</v>
      </c>
      <c r="K3" s="437" t="s">
        <v>20</v>
      </c>
      <c r="L3" s="437" t="s">
        <v>21</v>
      </c>
    </row>
    <row r="4" spans="2:12" ht="15.75" thickBot="1">
      <c r="B4" s="12"/>
      <c r="C4" s="459" t="s">
        <v>22</v>
      </c>
      <c r="D4" s="461"/>
      <c r="F4" s="459" t="s">
        <v>23</v>
      </c>
      <c r="G4" s="461"/>
      <c r="H4" s="13"/>
      <c r="J4" s="7" t="s">
        <v>24</v>
      </c>
      <c r="K4" s="7" t="s">
        <v>25</v>
      </c>
      <c r="L4" s="7" t="s">
        <v>26</v>
      </c>
    </row>
    <row r="5" spans="2:12">
      <c r="B5" s="12"/>
      <c r="C5" s="14" t="s">
        <v>27</v>
      </c>
      <c r="D5" s="147" t="s">
        <v>28</v>
      </c>
      <c r="F5" s="14" t="s">
        <v>29</v>
      </c>
      <c r="G5" s="147"/>
      <c r="H5" s="13"/>
      <c r="J5" s="7" t="s">
        <v>30</v>
      </c>
      <c r="K5" s="7" t="s">
        <v>31</v>
      </c>
      <c r="L5" s="301" t="s">
        <v>32</v>
      </c>
    </row>
    <row r="6" spans="2:12">
      <c r="B6" s="12"/>
      <c r="C6" s="15" t="s">
        <v>33</v>
      </c>
      <c r="D6" s="148" t="s">
        <v>34</v>
      </c>
      <c r="F6" s="15" t="s">
        <v>35</v>
      </c>
      <c r="G6" s="148"/>
      <c r="H6" s="13"/>
      <c r="J6" s="7" t="s">
        <v>36</v>
      </c>
      <c r="K6" s="7" t="s">
        <v>37</v>
      </c>
      <c r="L6" s="301" t="s">
        <v>38</v>
      </c>
    </row>
    <row r="7" spans="2:12">
      <c r="B7" s="12"/>
      <c r="C7" s="15" t="s">
        <v>39</v>
      </c>
      <c r="D7" s="149">
        <v>0</v>
      </c>
      <c r="F7" s="15" t="s">
        <v>20</v>
      </c>
      <c r="G7" s="148"/>
      <c r="H7" s="13"/>
      <c r="J7" s="7" t="s">
        <v>40</v>
      </c>
      <c r="K7" s="301" t="s">
        <v>41</v>
      </c>
      <c r="L7" s="7" t="s">
        <v>42</v>
      </c>
    </row>
    <row r="8" spans="2:12">
      <c r="B8" s="12"/>
      <c r="C8" s="15" t="s">
        <v>43</v>
      </c>
      <c r="D8" s="148" t="s">
        <v>44</v>
      </c>
      <c r="F8" s="15" t="s">
        <v>21</v>
      </c>
      <c r="G8" s="148"/>
      <c r="H8" s="13"/>
      <c r="J8" s="7" t="s">
        <v>45</v>
      </c>
      <c r="K8" s="7" t="s">
        <v>46</v>
      </c>
      <c r="L8" s="7" t="s">
        <v>47</v>
      </c>
    </row>
    <row r="9" spans="2:12">
      <c r="B9" s="12"/>
      <c r="C9" s="15" t="s">
        <v>48</v>
      </c>
      <c r="D9" s="150" t="s">
        <v>49</v>
      </c>
      <c r="F9" s="15" t="s">
        <v>50</v>
      </c>
      <c r="G9" s="151">
        <v>46010</v>
      </c>
      <c r="H9" s="13"/>
      <c r="J9" s="7" t="s">
        <v>51</v>
      </c>
      <c r="K9" s="7" t="s">
        <v>52</v>
      </c>
      <c r="L9" s="301" t="s">
        <v>53</v>
      </c>
    </row>
    <row r="10" spans="2:12">
      <c r="B10" s="12"/>
      <c r="C10" s="14" t="s">
        <v>54</v>
      </c>
      <c r="D10" s="150">
        <v>46174</v>
      </c>
      <c r="F10" s="16"/>
      <c r="G10" s="17"/>
      <c r="H10" s="13"/>
      <c r="J10" s="7" t="s">
        <v>55</v>
      </c>
      <c r="K10" s="7" t="s">
        <v>56</v>
      </c>
      <c r="L10" s="7" t="s">
        <v>57</v>
      </c>
    </row>
    <row r="11" spans="2:12">
      <c r="B11" s="12"/>
      <c r="C11" s="15" t="s">
        <v>58</v>
      </c>
      <c r="D11" s="151">
        <v>46235</v>
      </c>
      <c r="F11" s="16"/>
      <c r="G11" s="17"/>
      <c r="H11" s="13"/>
      <c r="J11" s="7" t="s">
        <v>59</v>
      </c>
      <c r="K11" s="7" t="s">
        <v>60</v>
      </c>
      <c r="L11" s="7" t="s">
        <v>61</v>
      </c>
    </row>
    <row r="12" spans="2:12">
      <c r="B12" s="12"/>
      <c r="C12" s="16" t="s">
        <v>62</v>
      </c>
      <c r="D12" s="152">
        <v>10</v>
      </c>
      <c r="F12" s="16"/>
      <c r="G12" s="17"/>
      <c r="H12" s="13"/>
      <c r="J12" s="7" t="s">
        <v>63</v>
      </c>
      <c r="K12" s="7" t="s">
        <v>64</v>
      </c>
      <c r="L12" s="301" t="s">
        <v>65</v>
      </c>
    </row>
    <row r="13" spans="2:12">
      <c r="B13" s="12"/>
      <c r="C13" s="15" t="s">
        <v>66</v>
      </c>
      <c r="D13" s="148" t="s">
        <v>67</v>
      </c>
      <c r="F13" s="16"/>
      <c r="G13" s="17"/>
      <c r="H13" s="13"/>
      <c r="J13" s="7" t="s">
        <v>68</v>
      </c>
      <c r="K13" s="7" t="s">
        <v>69</v>
      </c>
      <c r="L13" s="7" t="s">
        <v>70</v>
      </c>
    </row>
    <row r="14" spans="2:12" ht="14.25" thickBot="1">
      <c r="B14" s="12"/>
      <c r="C14" s="15" t="s">
        <v>71</v>
      </c>
      <c r="D14" s="148" t="s">
        <v>67</v>
      </c>
      <c r="F14" s="18"/>
      <c r="G14" s="19"/>
      <c r="H14" s="13"/>
    </row>
    <row r="15" spans="2:12" ht="14.25" thickBot="1">
      <c r="B15" s="12"/>
      <c r="C15" s="20"/>
      <c r="F15" s="20"/>
      <c r="H15" s="13"/>
      <c r="J15" s="456" t="s">
        <v>72</v>
      </c>
      <c r="K15" s="457"/>
      <c r="L15" s="458"/>
    </row>
    <row r="16" spans="2:12" ht="14.25" thickBot="1">
      <c r="B16" s="12"/>
      <c r="H16" s="13"/>
      <c r="J16" s="12"/>
      <c r="L16" s="13"/>
    </row>
    <row r="17" spans="2:13" ht="15.75" thickBot="1">
      <c r="B17" s="12"/>
      <c r="C17" s="459" t="s">
        <v>19</v>
      </c>
      <c r="D17" s="461"/>
      <c r="F17" s="459" t="s">
        <v>73</v>
      </c>
      <c r="G17" s="461"/>
      <c r="H17" s="13"/>
      <c r="J17" s="310" t="s">
        <v>74</v>
      </c>
      <c r="K17" s="311" t="s">
        <v>75</v>
      </c>
      <c r="L17" s="312" t="s">
        <v>76</v>
      </c>
    </row>
    <row r="18" spans="2:13">
      <c r="B18" s="12"/>
      <c r="C18" s="14" t="s">
        <v>77</v>
      </c>
      <c r="D18" s="153"/>
      <c r="F18" s="22" t="s">
        <v>78</v>
      </c>
      <c r="G18" s="155">
        <v>0</v>
      </c>
      <c r="H18" s="13"/>
      <c r="J18" s="313">
        <v>0</v>
      </c>
      <c r="K18" s="158">
        <v>10000</v>
      </c>
      <c r="L18" s="314">
        <v>0.17</v>
      </c>
    </row>
    <row r="19" spans="2:13">
      <c r="B19" s="12"/>
      <c r="C19" s="15" t="s">
        <v>20</v>
      </c>
      <c r="D19" s="1" t="str">
        <f>_xlfn.XLOOKUP(D18,$J$4:$J$12,$K$4:$K$12,"")</f>
        <v/>
      </c>
      <c r="F19" s="15" t="s">
        <v>79</v>
      </c>
      <c r="G19" s="156">
        <v>0</v>
      </c>
      <c r="H19" s="13"/>
      <c r="J19" s="313">
        <v>10000</v>
      </c>
      <c r="K19" s="158">
        <v>100000</v>
      </c>
      <c r="L19" s="314">
        <v>0.12</v>
      </c>
    </row>
    <row r="20" spans="2:13">
      <c r="B20" s="12"/>
      <c r="C20" s="15" t="s">
        <v>21</v>
      </c>
      <c r="D20" s="1" t="str">
        <f>_xlfn.XLOOKUP(D18,$J$4:$J$12,$L$4:$L$12,"")</f>
        <v/>
      </c>
      <c r="F20" s="15" t="s">
        <v>80</v>
      </c>
      <c r="G20" s="156">
        <v>0</v>
      </c>
      <c r="H20" s="13"/>
      <c r="J20" s="313">
        <v>100000</v>
      </c>
      <c r="K20" s="158">
        <v>250000</v>
      </c>
      <c r="L20" s="314">
        <v>0.09</v>
      </c>
    </row>
    <row r="21" spans="2:13">
      <c r="B21" s="12"/>
      <c r="C21" s="15" t="s">
        <v>81</v>
      </c>
      <c r="D21" s="1" t="s">
        <v>82</v>
      </c>
      <c r="F21" s="15" t="s">
        <v>83</v>
      </c>
      <c r="G21" s="156">
        <v>0</v>
      </c>
      <c r="H21" s="13"/>
      <c r="J21" s="313">
        <v>250000</v>
      </c>
      <c r="K21" s="158">
        <v>500000</v>
      </c>
      <c r="L21" s="314">
        <v>0.08</v>
      </c>
    </row>
    <row r="22" spans="2:13">
      <c r="B22" s="12"/>
      <c r="C22" s="15" t="s">
        <v>48</v>
      </c>
      <c r="D22" s="1" t="s">
        <v>84</v>
      </c>
      <c r="F22" s="15" t="s">
        <v>85</v>
      </c>
      <c r="G22" s="156">
        <v>0.01</v>
      </c>
      <c r="H22" s="13"/>
      <c r="J22" s="313">
        <v>500000</v>
      </c>
      <c r="K22" s="158">
        <v>2000000</v>
      </c>
      <c r="L22" s="314">
        <v>7.0000000000000007E-2</v>
      </c>
    </row>
    <row r="23" spans="2:13">
      <c r="B23" s="12"/>
      <c r="C23" s="15"/>
      <c r="D23" s="23"/>
      <c r="F23" s="15" t="s">
        <v>86</v>
      </c>
      <c r="G23" s="156">
        <v>0</v>
      </c>
      <c r="H23" s="13"/>
      <c r="J23" s="313">
        <v>2000000</v>
      </c>
      <c r="K23" s="158">
        <v>3000000</v>
      </c>
      <c r="L23" s="314">
        <v>0.06</v>
      </c>
    </row>
    <row r="24" spans="2:13" ht="14.25" thickBot="1">
      <c r="B24" s="12"/>
      <c r="C24" s="18"/>
      <c r="D24" s="24"/>
      <c r="F24" s="18" t="s">
        <v>87</v>
      </c>
      <c r="G24" s="157">
        <v>0.05</v>
      </c>
      <c r="H24" s="13"/>
      <c r="J24" s="313">
        <v>3000000</v>
      </c>
      <c r="K24" s="158">
        <v>5000000</v>
      </c>
      <c r="L24" s="314">
        <v>0.05</v>
      </c>
    </row>
    <row r="25" spans="2:13" ht="14.25" thickBot="1">
      <c r="B25" s="12"/>
      <c r="G25" s="25"/>
      <c r="H25" s="13"/>
      <c r="J25" s="315">
        <v>5000000</v>
      </c>
      <c r="K25" s="316">
        <v>8000000</v>
      </c>
      <c r="L25" s="317">
        <v>0.04</v>
      </c>
    </row>
    <row r="26" spans="2:13" ht="14.25" thickBot="1">
      <c r="B26" s="12"/>
      <c r="H26" s="13"/>
      <c r="J26" s="158"/>
      <c r="K26" s="158"/>
      <c r="L26" s="159"/>
    </row>
    <row r="27" spans="2:13" ht="15.75" thickBot="1">
      <c r="B27" s="12"/>
      <c r="C27" s="459" t="s">
        <v>88</v>
      </c>
      <c r="D27" s="461"/>
      <c r="F27" s="462" t="s">
        <v>89</v>
      </c>
      <c r="G27" s="463"/>
      <c r="H27" s="13"/>
      <c r="J27" s="22" t="s">
        <v>90</v>
      </c>
      <c r="K27" s="464" t="s">
        <v>91</v>
      </c>
      <c r="L27" s="464"/>
      <c r="M27" s="465"/>
    </row>
    <row r="28" spans="2:13">
      <c r="B28" s="12"/>
      <c r="C28" s="15" t="s">
        <v>92</v>
      </c>
      <c r="D28" s="143">
        <f>YEARFRAC(D10, D11) * 12</f>
        <v>2</v>
      </c>
      <c r="F28" s="22" t="s">
        <v>90</v>
      </c>
      <c r="G28" s="362"/>
      <c r="H28" s="13"/>
      <c r="J28" s="15" t="s">
        <v>93</v>
      </c>
      <c r="K28" s="466" t="s">
        <v>94</v>
      </c>
      <c r="L28" s="466"/>
      <c r="M28" s="467"/>
    </row>
    <row r="29" spans="2:13" ht="14.25" thickBot="1">
      <c r="B29" s="12"/>
      <c r="C29" s="15" t="s">
        <v>95</v>
      </c>
      <c r="D29" s="143">
        <f>(D11 - D10) / 7</f>
        <v>8.7142857142857135</v>
      </c>
      <c r="F29" s="18" t="s">
        <v>96</v>
      </c>
      <c r="G29" s="357"/>
      <c r="H29" s="13"/>
      <c r="J29" s="15" t="s">
        <v>97</v>
      </c>
      <c r="K29" s="466" t="s">
        <v>98</v>
      </c>
      <c r="L29" s="466"/>
      <c r="M29" s="467"/>
    </row>
    <row r="30" spans="2:13">
      <c r="B30" s="12"/>
      <c r="C30" s="15" t="s">
        <v>99</v>
      </c>
      <c r="D30" s="143">
        <f>D11-D10</f>
        <v>61</v>
      </c>
      <c r="H30" s="13"/>
      <c r="J30" s="15" t="s">
        <v>100</v>
      </c>
      <c r="K30" s="466" t="s">
        <v>101</v>
      </c>
      <c r="L30" s="466"/>
      <c r="M30" s="467"/>
    </row>
    <row r="31" spans="2:13" ht="14.25" thickBot="1">
      <c r="B31" s="12"/>
      <c r="C31" s="18" t="s">
        <v>102</v>
      </c>
      <c r="D31" s="144">
        <f>NETWORKDAYS(D10, D11, US_Holidays__2025_2034_!D2:D71)</f>
        <v>44</v>
      </c>
      <c r="H31" s="13"/>
      <c r="J31" s="15" t="s">
        <v>103</v>
      </c>
      <c r="K31" s="466" t="s">
        <v>104</v>
      </c>
      <c r="L31" s="466"/>
      <c r="M31" s="467"/>
    </row>
    <row r="32" spans="2:13" ht="14.25" thickBot="1">
      <c r="B32" s="12"/>
      <c r="H32" s="13"/>
      <c r="J32" s="18" t="s">
        <v>105</v>
      </c>
      <c r="K32" s="468" t="s">
        <v>106</v>
      </c>
      <c r="L32" s="468"/>
      <c r="M32" s="469"/>
    </row>
    <row r="33" spans="2:13" ht="14.25" thickBot="1">
      <c r="B33" s="12"/>
      <c r="H33" s="13"/>
    </row>
    <row r="34" spans="2:13" ht="15.75" thickBot="1">
      <c r="B34" s="12"/>
      <c r="C34" s="459" t="s">
        <v>107</v>
      </c>
      <c r="D34" s="460"/>
      <c r="E34" s="460"/>
      <c r="F34" s="461"/>
      <c r="H34" s="13"/>
      <c r="J34" s="22" t="s">
        <v>96</v>
      </c>
      <c r="K34" s="464" t="s">
        <v>91</v>
      </c>
      <c r="L34" s="464"/>
      <c r="M34" s="465"/>
    </row>
    <row r="35" spans="2:13" ht="14.25" thickBot="1">
      <c r="B35" s="12"/>
      <c r="C35" s="26"/>
      <c r="D35" s="10"/>
      <c r="E35" s="10"/>
      <c r="F35" s="27"/>
      <c r="H35" s="13"/>
      <c r="J35" s="15" t="s">
        <v>108</v>
      </c>
      <c r="K35" s="466" t="s">
        <v>109</v>
      </c>
      <c r="L35" s="466"/>
      <c r="M35" s="467"/>
    </row>
    <row r="36" spans="2:13">
      <c r="B36" s="12"/>
      <c r="C36" s="28" t="s">
        <v>110</v>
      </c>
      <c r="D36" s="390">
        <f>IF('STEP 2 - GCs'!H35 &lt;501, 'STEP 2 - GCs'!H35, 0)</f>
        <v>0</v>
      </c>
      <c r="E36" s="160">
        <f>IF(D36&gt;0,36.7,0)</f>
        <v>0</v>
      </c>
      <c r="F36" s="21"/>
      <c r="H36" s="13"/>
      <c r="J36" s="15" t="s">
        <v>111</v>
      </c>
      <c r="K36" s="466" t="s">
        <v>112</v>
      </c>
      <c r="L36" s="466"/>
      <c r="M36" s="467"/>
    </row>
    <row r="37" spans="2:13">
      <c r="B37" s="12"/>
      <c r="C37" s="29" t="s">
        <v>113</v>
      </c>
      <c r="D37" s="390">
        <f>IF(AND(501 &lt;'STEP 2 - GCs'!H35,'STEP 2 - GCs'!H35 &lt; 2001), 'STEP 2 - GCs'!H35, 0)</f>
        <v>0</v>
      </c>
      <c r="E37" s="161">
        <f>IF(D37&gt;0,SUM((D37-500)*0.045)+36.7,0)</f>
        <v>0</v>
      </c>
      <c r="F37" s="23"/>
      <c r="H37" s="13"/>
      <c r="J37" s="15" t="s">
        <v>114</v>
      </c>
      <c r="K37" s="466" t="s">
        <v>115</v>
      </c>
      <c r="L37" s="466"/>
      <c r="M37" s="467"/>
    </row>
    <row r="38" spans="2:13">
      <c r="B38" s="12"/>
      <c r="C38" s="29" t="s">
        <v>116</v>
      </c>
      <c r="D38" s="390">
        <f>IF(AND(2001 &lt;'STEP 2 - GCs'!H35,'STEP 2 - GCs'!H35 &lt; 25001), 'STEP 2 - GCs'!H35, 0)</f>
        <v>0</v>
      </c>
      <c r="E38" s="161">
        <f>IF(D38&gt;0,SUM((D38-2000)*0.0206)+104.2,0)</f>
        <v>0</v>
      </c>
      <c r="F38" s="23"/>
      <c r="H38" s="13"/>
      <c r="J38" s="15" t="s">
        <v>117</v>
      </c>
      <c r="K38" s="466" t="s">
        <v>118</v>
      </c>
      <c r="L38" s="466"/>
      <c r="M38" s="467"/>
    </row>
    <row r="39" spans="2:13">
      <c r="B39" s="12"/>
      <c r="C39" s="29" t="s">
        <v>119</v>
      </c>
      <c r="D39" s="390">
        <f>IF(AND(25001 &lt;'STEP 2 - GCs'!H35,'STEP 2 - GCs'!H35 &lt; 50001), 'STEP 2 - GCs'!H35, 0)</f>
        <v>0</v>
      </c>
      <c r="E39" s="161">
        <f>IF(D39&gt;0,SUM((D39-25000)*0.0149)+578,0)</f>
        <v>0</v>
      </c>
      <c r="F39" s="23"/>
      <c r="H39" s="13"/>
      <c r="J39" s="15" t="s">
        <v>120</v>
      </c>
      <c r="K39" s="466" t="s">
        <v>121</v>
      </c>
      <c r="L39" s="466"/>
      <c r="M39" s="467"/>
    </row>
    <row r="40" spans="2:13">
      <c r="B40" s="12"/>
      <c r="C40" s="29" t="s">
        <v>122</v>
      </c>
      <c r="D40" s="390">
        <f>IF(AND(50001 &lt;'STEP 2 - GCs'!H35,'STEP 2 - GCs'!H35 &lt; 100001), 'STEP 2 - GCs'!H35, 0)</f>
        <v>0</v>
      </c>
      <c r="E40" s="161">
        <f>IF(D40&gt;0,SUM((D40-50000)*0.0106)+950.5,0)</f>
        <v>0</v>
      </c>
      <c r="F40" s="23"/>
      <c r="H40" s="13"/>
      <c r="J40" s="15" t="s">
        <v>123</v>
      </c>
      <c r="K40" s="466" t="s">
        <v>124</v>
      </c>
      <c r="L40" s="466"/>
      <c r="M40" s="467"/>
    </row>
    <row r="41" spans="2:13">
      <c r="B41" s="12"/>
      <c r="C41" s="29" t="s">
        <v>125</v>
      </c>
      <c r="D41" s="390">
        <f>IF(AND(100001 &lt;'STEP 2 - GCs'!H35,'STEP 2 - GCs'!H35 &lt; 500001), 'STEP 2 - GCs'!H35, 0)</f>
        <v>117389</v>
      </c>
      <c r="E41" s="161">
        <f>IF(D41&gt;0,SUM(((D41-100000)*0.0084)+1480.5),0)</f>
        <v>1626.5676000000001</v>
      </c>
      <c r="F41" s="23"/>
      <c r="H41" s="13"/>
      <c r="J41" s="15" t="s">
        <v>126</v>
      </c>
      <c r="K41" s="466" t="s">
        <v>127</v>
      </c>
      <c r="L41" s="466"/>
      <c r="M41" s="467"/>
    </row>
    <row r="42" spans="2:13" ht="14.25" thickBot="1">
      <c r="B42" s="12"/>
      <c r="C42" s="29" t="s">
        <v>128</v>
      </c>
      <c r="D42" s="390">
        <f>IF(AND(500001 &lt;'STEP 2 - GCs'!H35,'STEP 2 - GCs'!H35 &lt; 1000001), 'STEP 2 - GCs'!H35, 0)</f>
        <v>0</v>
      </c>
      <c r="E42" s="161">
        <f>IF(D42&gt;0,SUM((D42-500000)*0.0069)+4840.5,0)</f>
        <v>0</v>
      </c>
      <c r="F42" s="23"/>
      <c r="H42" s="13"/>
      <c r="J42" s="18" t="s">
        <v>129</v>
      </c>
      <c r="K42" s="468" t="s">
        <v>130</v>
      </c>
      <c r="L42" s="468"/>
      <c r="M42" s="469"/>
    </row>
    <row r="43" spans="2:13" ht="14.25" thickBot="1">
      <c r="B43" s="12"/>
      <c r="C43" s="30" t="s">
        <v>131</v>
      </c>
      <c r="D43" s="390">
        <f>IF('STEP 2 - GCs'!H35 &gt; 1000001, 'STEP 2 - GCs'!H35, 0)</f>
        <v>0</v>
      </c>
      <c r="E43" s="162">
        <f>IF(D43&gt;0,SUM((D43-1000000)*0.0056)+8290.5,0)</f>
        <v>0</v>
      </c>
      <c r="F43" s="31"/>
      <c r="H43" s="13"/>
    </row>
    <row r="44" spans="2:13" ht="15" thickTop="1" thickBot="1">
      <c r="B44" s="12"/>
      <c r="C44" s="32" t="s">
        <v>132</v>
      </c>
      <c r="D44" s="33"/>
      <c r="E44" s="33"/>
      <c r="F44" s="163">
        <f>SUM(E36:E43)</f>
        <v>1626.5676000000001</v>
      </c>
      <c r="H44" s="13"/>
    </row>
    <row r="45" spans="2:13" ht="15" thickTop="1" thickBot="1">
      <c r="B45" s="12"/>
      <c r="C45" s="32" t="s">
        <v>133</v>
      </c>
      <c r="D45" s="33"/>
      <c r="E45" s="33"/>
      <c r="F45" s="163">
        <f>SUM(F44)*0.65</f>
        <v>1057.2689400000002</v>
      </c>
      <c r="H45" s="13"/>
    </row>
    <row r="46" spans="2:13" ht="15" thickTop="1" thickBot="1">
      <c r="B46" s="12"/>
      <c r="C46" s="34" t="s">
        <v>134</v>
      </c>
      <c r="D46" s="35"/>
      <c r="E46" s="35"/>
      <c r="F46" s="164">
        <f>SUM(D36:D43)*0.0005</f>
        <v>58.694499999999998</v>
      </c>
      <c r="H46" s="13"/>
    </row>
    <row r="47" spans="2:13" ht="14.25" thickBot="1">
      <c r="B47" s="12"/>
      <c r="C47" s="10"/>
      <c r="D47" s="10"/>
      <c r="E47" s="10"/>
      <c r="F47" s="10"/>
      <c r="H47" s="13"/>
    </row>
    <row r="48" spans="2:13" ht="14.25" thickBot="1">
      <c r="B48" s="12"/>
      <c r="C48" s="36" t="s">
        <v>135</v>
      </c>
      <c r="D48" s="37"/>
      <c r="E48" s="10"/>
      <c r="F48" s="165">
        <f>SUM(F44:F46)</f>
        <v>2742.5310400000003</v>
      </c>
      <c r="H48" s="13"/>
    </row>
    <row r="49" spans="2:12">
      <c r="B49" s="12"/>
      <c r="H49" s="13"/>
    </row>
    <row r="50" spans="2:12">
      <c r="B50" s="12"/>
      <c r="H50" s="13"/>
    </row>
    <row r="51" spans="2:12">
      <c r="B51" s="12"/>
      <c r="H51" s="13"/>
    </row>
    <row r="52" spans="2:12" ht="14.25" thickBot="1">
      <c r="B52" s="38"/>
      <c r="C52" s="39"/>
      <c r="D52" s="39"/>
      <c r="E52" s="39"/>
      <c r="F52" s="39"/>
      <c r="G52" s="39"/>
      <c r="H52" s="40"/>
    </row>
    <row r="54" spans="2:12" ht="15">
      <c r="C54" s="474" t="s">
        <v>136</v>
      </c>
      <c r="D54" s="475"/>
      <c r="E54" s="475"/>
      <c r="F54" s="475"/>
      <c r="G54" s="475"/>
      <c r="H54" s="475"/>
      <c r="I54" s="475"/>
      <c r="J54" s="475"/>
      <c r="K54" s="475"/>
      <c r="L54" s="475"/>
    </row>
    <row r="55" spans="2:12" ht="14.25" thickBot="1">
      <c r="D55" s="41"/>
    </row>
    <row r="56" spans="2:12" ht="15.75" thickBot="1">
      <c r="C56" s="459" t="s">
        <v>22</v>
      </c>
      <c r="D56" s="461"/>
      <c r="I56" s="472" t="s">
        <v>137</v>
      </c>
      <c r="J56" s="473"/>
      <c r="K56" s="473"/>
      <c r="L56" s="473"/>
    </row>
    <row r="57" spans="2:12" ht="15">
      <c r="C57" s="22" t="s">
        <v>138</v>
      </c>
      <c r="D57" s="364">
        <f>D12</f>
        <v>10</v>
      </c>
      <c r="I57" s="385" t="s">
        <v>139</v>
      </c>
      <c r="J57" s="379" t="s">
        <v>140</v>
      </c>
      <c r="K57" s="384">
        <f>E63+E64</f>
        <v>2050</v>
      </c>
      <c r="L57" s="378" t="s">
        <v>141</v>
      </c>
    </row>
    <row r="58" spans="2:12" ht="15.75" thickBot="1">
      <c r="C58" s="18" t="s">
        <v>142</v>
      </c>
      <c r="D58" s="365">
        <v>100</v>
      </c>
      <c r="I58" s="385" t="s">
        <v>139</v>
      </c>
      <c r="J58" s="379" t="s">
        <v>143</v>
      </c>
      <c r="K58" s="384">
        <f>E65/(50*50)*4</f>
        <v>96</v>
      </c>
      <c r="L58" s="378" t="s">
        <v>144</v>
      </c>
    </row>
    <row r="59" spans="2:12" ht="15">
      <c r="C59" s="20"/>
      <c r="D59" s="370"/>
      <c r="I59" s="385" t="s">
        <v>139</v>
      </c>
      <c r="J59" s="379" t="s">
        <v>145</v>
      </c>
      <c r="K59" s="384">
        <f>E63*E69</f>
        <v>18000</v>
      </c>
      <c r="L59" s="378" t="s">
        <v>146</v>
      </c>
    </row>
    <row r="60" spans="2:12" ht="15">
      <c r="C60" s="472" t="s">
        <v>147</v>
      </c>
      <c r="D60" s="473"/>
      <c r="E60" s="473"/>
      <c r="F60" s="473"/>
      <c r="I60" s="385" t="s">
        <v>139</v>
      </c>
      <c r="J60" s="379" t="s">
        <v>148</v>
      </c>
      <c r="K60" s="384">
        <f>E65</f>
        <v>60000</v>
      </c>
      <c r="L60" s="378" t="s">
        <v>146</v>
      </c>
    </row>
    <row r="61" spans="2:12" ht="15">
      <c r="C61" s="470" t="s">
        <v>147</v>
      </c>
      <c r="D61" s="470"/>
      <c r="E61" s="367" t="s">
        <v>149</v>
      </c>
      <c r="F61" s="368" t="s">
        <v>150</v>
      </c>
    </row>
    <row r="62" spans="2:12" ht="15">
      <c r="C62" s="471" t="s">
        <v>151</v>
      </c>
      <c r="D62" s="471"/>
      <c r="E62" s="382">
        <v>1</v>
      </c>
      <c r="F62" s="369" t="s">
        <v>144</v>
      </c>
      <c r="I62" s="385" t="s">
        <v>152</v>
      </c>
      <c r="J62" s="380" t="s">
        <v>153</v>
      </c>
      <c r="K62" s="384">
        <f>E66</f>
        <v>120000</v>
      </c>
      <c r="L62" s="378" t="s">
        <v>146</v>
      </c>
    </row>
    <row r="63" spans="2:12">
      <c r="C63" s="471" t="s">
        <v>154</v>
      </c>
      <c r="D63" s="471"/>
      <c r="E63" s="382">
        <v>1500</v>
      </c>
      <c r="F63" s="369" t="s">
        <v>141</v>
      </c>
    </row>
    <row r="64" spans="2:12" ht="15">
      <c r="C64" s="471" t="s">
        <v>155</v>
      </c>
      <c r="D64" s="471"/>
      <c r="E64" s="382">
        <v>550</v>
      </c>
      <c r="F64" s="369" t="s">
        <v>141</v>
      </c>
      <c r="I64" s="385" t="s">
        <v>156</v>
      </c>
      <c r="J64" s="377" t="s">
        <v>157</v>
      </c>
      <c r="K64" s="384">
        <f>E67</f>
        <v>300000</v>
      </c>
      <c r="L64" s="378" t="s">
        <v>146</v>
      </c>
    </row>
    <row r="65" spans="3:12">
      <c r="C65" s="471" t="s">
        <v>158</v>
      </c>
      <c r="D65" s="471"/>
      <c r="E65" s="382">
        <v>60000</v>
      </c>
      <c r="F65" s="369" t="s">
        <v>146</v>
      </c>
    </row>
    <row r="66" spans="3:12" ht="15">
      <c r="C66" s="471" t="s">
        <v>159</v>
      </c>
      <c r="D66" s="471"/>
      <c r="E66" s="382">
        <v>120000</v>
      </c>
      <c r="F66" s="369" t="s">
        <v>146</v>
      </c>
      <c r="I66" s="385" t="s">
        <v>160</v>
      </c>
      <c r="J66" s="381" t="s">
        <v>161</v>
      </c>
      <c r="K66" s="384">
        <f>E79+E80</f>
        <v>34650</v>
      </c>
      <c r="L66" s="378" t="s">
        <v>146</v>
      </c>
    </row>
    <row r="67" spans="3:12">
      <c r="C67" s="471" t="s">
        <v>162</v>
      </c>
      <c r="D67" s="471"/>
      <c r="E67" s="382">
        <v>300000</v>
      </c>
      <c r="F67" s="369" t="s">
        <v>146</v>
      </c>
    </row>
    <row r="68" spans="3:12" ht="15">
      <c r="C68" s="471" t="s">
        <v>163</v>
      </c>
      <c r="D68" s="471"/>
      <c r="E68" s="382">
        <v>25000</v>
      </c>
      <c r="F68" s="369" t="s">
        <v>146</v>
      </c>
      <c r="I68" s="385" t="s">
        <v>164</v>
      </c>
      <c r="J68" s="377" t="s">
        <v>165</v>
      </c>
      <c r="K68" s="384">
        <f>E67</f>
        <v>300000</v>
      </c>
      <c r="L68" s="378" t="s">
        <v>146</v>
      </c>
    </row>
    <row r="69" spans="3:12">
      <c r="C69" s="471" t="s">
        <v>166</v>
      </c>
      <c r="D69" s="471"/>
      <c r="E69" s="382">
        <v>12</v>
      </c>
      <c r="F69" s="369" t="s">
        <v>167</v>
      </c>
    </row>
    <row r="70" spans="3:12" ht="15">
      <c r="C70" s="471" t="s">
        <v>168</v>
      </c>
      <c r="D70" s="471"/>
      <c r="E70" s="382">
        <v>20</v>
      </c>
      <c r="F70" s="369" t="s">
        <v>167</v>
      </c>
      <c r="I70" s="385" t="s">
        <v>169</v>
      </c>
      <c r="J70" s="377" t="s">
        <v>170</v>
      </c>
      <c r="K70" s="384">
        <f>E63*E69</f>
        <v>18000</v>
      </c>
      <c r="L70" s="378" t="s">
        <v>146</v>
      </c>
    </row>
    <row r="71" spans="3:12">
      <c r="C71" s="471" t="s">
        <v>171</v>
      </c>
      <c r="D71" s="471"/>
      <c r="E71" s="382">
        <v>50</v>
      </c>
      <c r="F71" s="369" t="s">
        <v>167</v>
      </c>
    </row>
    <row r="72" spans="3:12" ht="15">
      <c r="C72" s="471" t="s">
        <v>172</v>
      </c>
      <c r="D72" s="471"/>
      <c r="E72" s="382">
        <v>5</v>
      </c>
      <c r="F72" s="369" t="s">
        <v>144</v>
      </c>
      <c r="I72" s="385" t="s">
        <v>173</v>
      </c>
      <c r="J72" s="377" t="s">
        <v>174</v>
      </c>
      <c r="K72" s="384">
        <f>E68</f>
        <v>25000</v>
      </c>
      <c r="L72" s="378" t="s">
        <v>146</v>
      </c>
    </row>
    <row r="74" spans="3:12" ht="15">
      <c r="C74" s="472" t="s">
        <v>175</v>
      </c>
      <c r="D74" s="473"/>
      <c r="E74" s="473"/>
      <c r="F74" s="473"/>
      <c r="I74" s="385" t="s">
        <v>176</v>
      </c>
      <c r="J74" s="377" t="s">
        <v>177</v>
      </c>
      <c r="K74" s="384">
        <f>E75</f>
        <v>115500.00000000001</v>
      </c>
      <c r="L74" s="378" t="s">
        <v>146</v>
      </c>
    </row>
    <row r="75" spans="3:12" ht="15">
      <c r="C75" s="371" t="s">
        <v>178</v>
      </c>
      <c r="D75" s="371"/>
      <c r="E75" s="372">
        <f>E63*(E70+E71)*1.1</f>
        <v>115500.00000000001</v>
      </c>
      <c r="F75" s="6" t="s">
        <v>146</v>
      </c>
    </row>
    <row r="76" spans="3:12" ht="15">
      <c r="C76" s="366" t="s">
        <v>179</v>
      </c>
      <c r="D76" s="367" t="s">
        <v>180</v>
      </c>
      <c r="E76" s="373" t="s">
        <v>181</v>
      </c>
      <c r="F76" s="374" t="s">
        <v>150</v>
      </c>
      <c r="I76" s="385" t="s">
        <v>182</v>
      </c>
      <c r="J76" s="377" t="s">
        <v>183</v>
      </c>
      <c r="K76" s="384">
        <f>E84</f>
        <v>0</v>
      </c>
      <c r="L76" s="378" t="s">
        <v>146</v>
      </c>
    </row>
    <row r="77" spans="3:12" ht="15">
      <c r="C77" s="363" t="s">
        <v>184</v>
      </c>
      <c r="D77" s="383">
        <v>0</v>
      </c>
      <c r="E77" s="372">
        <f t="shared" ref="E77:E86" si="0">D77*$E$75</f>
        <v>0</v>
      </c>
      <c r="F77" s="6" t="s">
        <v>146</v>
      </c>
    </row>
    <row r="78" spans="3:12" ht="15">
      <c r="C78" s="363" t="s">
        <v>185</v>
      </c>
      <c r="D78" s="383">
        <v>0</v>
      </c>
      <c r="E78" s="372">
        <f t="shared" si="0"/>
        <v>0</v>
      </c>
      <c r="F78" s="6" t="s">
        <v>146</v>
      </c>
      <c r="I78" s="385" t="s">
        <v>186</v>
      </c>
      <c r="J78" s="377" t="s">
        <v>187</v>
      </c>
      <c r="K78" s="384">
        <f>E67/E72</f>
        <v>60000</v>
      </c>
      <c r="L78" s="378" t="s">
        <v>146</v>
      </c>
    </row>
    <row r="79" spans="3:12" ht="15">
      <c r="C79" s="363" t="s">
        <v>188</v>
      </c>
      <c r="D79" s="383">
        <v>0.3</v>
      </c>
      <c r="E79" s="372">
        <f t="shared" si="0"/>
        <v>34650</v>
      </c>
      <c r="F79" s="6" t="s">
        <v>146</v>
      </c>
      <c r="I79" s="385" t="s">
        <v>186</v>
      </c>
      <c r="J79" s="377" t="s">
        <v>189</v>
      </c>
      <c r="K79" s="384">
        <f>E63</f>
        <v>1500</v>
      </c>
      <c r="L79" s="378" t="s">
        <v>141</v>
      </c>
    </row>
    <row r="80" spans="3:12" ht="15">
      <c r="C80" s="363" t="s">
        <v>190</v>
      </c>
      <c r="D80" s="383">
        <v>0</v>
      </c>
      <c r="E80" s="372">
        <f t="shared" si="0"/>
        <v>0</v>
      </c>
      <c r="F80" s="6" t="s">
        <v>146</v>
      </c>
    </row>
    <row r="81" spans="3:12" ht="15">
      <c r="C81" s="363" t="s">
        <v>191</v>
      </c>
      <c r="D81" s="383">
        <v>0</v>
      </c>
      <c r="E81" s="372">
        <f t="shared" si="0"/>
        <v>0</v>
      </c>
      <c r="F81" s="6" t="s">
        <v>146</v>
      </c>
      <c r="I81" s="385" t="s">
        <v>192</v>
      </c>
      <c r="J81" s="377" t="s">
        <v>193</v>
      </c>
      <c r="K81" s="384">
        <f>E81+E82</f>
        <v>0</v>
      </c>
      <c r="L81" s="378" t="s">
        <v>146</v>
      </c>
    </row>
    <row r="82" spans="3:12" ht="15">
      <c r="C82" s="363" t="s">
        <v>194</v>
      </c>
      <c r="D82" s="383">
        <v>0</v>
      </c>
      <c r="E82" s="372">
        <f t="shared" si="0"/>
        <v>0</v>
      </c>
      <c r="F82" s="6" t="s">
        <v>146</v>
      </c>
      <c r="I82" s="385" t="s">
        <v>195</v>
      </c>
      <c r="J82" s="377" t="s">
        <v>196</v>
      </c>
      <c r="K82" s="384">
        <f>E83</f>
        <v>55440.000000000007</v>
      </c>
      <c r="L82" s="378" t="s">
        <v>146</v>
      </c>
    </row>
    <row r="83" spans="3:12" ht="15">
      <c r="C83" s="363" t="s">
        <v>197</v>
      </c>
      <c r="D83" s="383">
        <v>0.48</v>
      </c>
      <c r="E83" s="372">
        <f t="shared" si="0"/>
        <v>55440.000000000007</v>
      </c>
      <c r="F83" s="6" t="s">
        <v>146</v>
      </c>
    </row>
    <row r="84" spans="3:12" ht="15">
      <c r="C84" s="363" t="s">
        <v>198</v>
      </c>
      <c r="D84" s="383">
        <v>0</v>
      </c>
      <c r="E84" s="372">
        <f t="shared" si="0"/>
        <v>0</v>
      </c>
      <c r="F84" s="6" t="s">
        <v>146</v>
      </c>
      <c r="I84" s="385" t="s">
        <v>199</v>
      </c>
      <c r="J84" s="377" t="s">
        <v>200</v>
      </c>
      <c r="K84" s="384">
        <f>E67/E72</f>
        <v>60000</v>
      </c>
      <c r="L84" s="378" t="s">
        <v>146</v>
      </c>
    </row>
    <row r="85" spans="3:12" ht="15">
      <c r="C85" s="363" t="s">
        <v>201</v>
      </c>
      <c r="D85" s="383">
        <v>0.2</v>
      </c>
      <c r="E85" s="372">
        <f t="shared" si="0"/>
        <v>23100.000000000004</v>
      </c>
      <c r="F85" s="6" t="s">
        <v>146</v>
      </c>
      <c r="G85" s="386">
        <v>0.2</v>
      </c>
    </row>
    <row r="86" spans="3:12" ht="15">
      <c r="C86" s="363" t="s">
        <v>202</v>
      </c>
      <c r="D86" s="383">
        <v>0.02</v>
      </c>
      <c r="E86" s="372">
        <f t="shared" si="0"/>
        <v>2310.0000000000005</v>
      </c>
      <c r="F86" s="6" t="s">
        <v>146</v>
      </c>
      <c r="G86" s="386">
        <v>0.02</v>
      </c>
      <c r="I86" s="53" t="s">
        <v>203</v>
      </c>
      <c r="J86" s="54" t="s">
        <v>204</v>
      </c>
      <c r="K86" s="384">
        <f>E85</f>
        <v>23100.000000000004</v>
      </c>
      <c r="L86" s="378" t="s">
        <v>146</v>
      </c>
    </row>
    <row r="87" spans="3:12" ht="15">
      <c r="C87" s="375" t="s">
        <v>178</v>
      </c>
      <c r="D87" s="376">
        <f>SUM(D77:D86)</f>
        <v>1</v>
      </c>
      <c r="E87" s="372">
        <f>SUM(E77:E86)</f>
        <v>115500</v>
      </c>
      <c r="F87" s="6" t="s">
        <v>146</v>
      </c>
      <c r="I87" s="385" t="s">
        <v>205</v>
      </c>
      <c r="J87" s="377" t="s">
        <v>206</v>
      </c>
      <c r="K87" s="384">
        <f>E86</f>
        <v>2310.0000000000005</v>
      </c>
      <c r="L87" s="378" t="s">
        <v>146</v>
      </c>
    </row>
  </sheetData>
  <sheetProtection sheet="1" formatCells="0" formatColumns="0" formatRows="0" insertColumns="0" insertRows="0" insertHyperlinks="0" deleteColumns="0" deleteRows="0" sort="0" autoFilter="0" pivotTables="0"/>
  <sortState xmlns:xlrd2="http://schemas.microsoft.com/office/spreadsheetml/2017/richdata2" ref="J5:L13">
    <sortCondition ref="J4:J13"/>
  </sortState>
  <mergeCells count="40">
    <mergeCell ref="C72:D72"/>
    <mergeCell ref="C60:F60"/>
    <mergeCell ref="C74:F74"/>
    <mergeCell ref="I56:L56"/>
    <mergeCell ref="C54:L54"/>
    <mergeCell ref="C67:D67"/>
    <mergeCell ref="C68:D68"/>
    <mergeCell ref="C69:D69"/>
    <mergeCell ref="C70:D70"/>
    <mergeCell ref="C71:D71"/>
    <mergeCell ref="C62:D62"/>
    <mergeCell ref="C63:D63"/>
    <mergeCell ref="C64:D64"/>
    <mergeCell ref="C65:D65"/>
    <mergeCell ref="C66:D66"/>
    <mergeCell ref="C56:D56"/>
    <mergeCell ref="C61:D61"/>
    <mergeCell ref="K40:M40"/>
    <mergeCell ref="K41:M41"/>
    <mergeCell ref="K42:M42"/>
    <mergeCell ref="K35:M35"/>
    <mergeCell ref="K36:M36"/>
    <mergeCell ref="K37:M37"/>
    <mergeCell ref="K38:M38"/>
    <mergeCell ref="K39:M39"/>
    <mergeCell ref="J15:L15"/>
    <mergeCell ref="C34:F34"/>
    <mergeCell ref="C27:D27"/>
    <mergeCell ref="F17:G17"/>
    <mergeCell ref="F4:G4"/>
    <mergeCell ref="C4:D4"/>
    <mergeCell ref="C17:D17"/>
    <mergeCell ref="F27:G27"/>
    <mergeCell ref="K27:M27"/>
    <mergeCell ref="K28:M28"/>
    <mergeCell ref="K29:M29"/>
    <mergeCell ref="K30:M30"/>
    <mergeCell ref="K31:M31"/>
    <mergeCell ref="K32:M32"/>
    <mergeCell ref="K34:M34"/>
  </mergeCells>
  <dataValidations count="3">
    <dataValidation type="list" allowBlank="1" showInputMessage="1" showErrorMessage="1" sqref="G29" xr:uid="{1F790588-E3A4-4A66-8321-809B45E6D1A3}">
      <formula1>$J$35:$J$42</formula1>
    </dataValidation>
    <dataValidation type="list" allowBlank="1" showInputMessage="1" showErrorMessage="1" sqref="G28" xr:uid="{0E1CFBBD-95F3-41D8-8853-B4CDE913EA96}">
      <formula1>$J$28:$J$32</formula1>
    </dataValidation>
    <dataValidation type="list" allowBlank="1" showInputMessage="1" showErrorMessage="1" sqref="D18" xr:uid="{7FBF5BBB-2415-4743-9236-AF5C48ECE130}">
      <formula1>$J$4:$J$14</formula1>
    </dataValidation>
  </dataValidations>
  <hyperlinks>
    <hyperlink ref="L5" r:id="rId1" xr:uid="{505C9889-DAD7-4BB6-93E9-6C08D727F64C}"/>
    <hyperlink ref="L12" r:id="rId2" xr:uid="{6F2B0F75-E07E-499C-B80A-E49EC062CBA3}"/>
    <hyperlink ref="L6" r:id="rId3" xr:uid="{6543B7E4-7E3F-4755-9914-D3CA0CEFC4BE}"/>
    <hyperlink ref="L9" r:id="rId4" xr:uid="{7DEA2ECE-BB38-4CF5-BF29-4B0970E02A44}"/>
  </hyperlinks>
  <pageMargins left="0.7" right="0.7" top="0.75" bottom="0.75" header="0.3" footer="0.3"/>
  <pageSetup scale="74" orientation="portrait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1C900-15D5-48D9-8FCB-ED7387820D44}">
  <sheetPr codeName="Sheet13">
    <pageSetUpPr fitToPage="1"/>
  </sheetPr>
  <dimension ref="B1:M65"/>
  <sheetViews>
    <sheetView showGridLines="0" zoomScale="85" zoomScaleNormal="85" workbookViewId="0">
      <pane ySplit="9" topLeftCell="A10" activePane="bottomLeft" state="frozen"/>
      <selection activeCell="M6" sqref="M6"/>
      <selection pane="bottomLeft" activeCell="M6" sqref="M6"/>
    </sheetView>
  </sheetViews>
  <sheetFormatPr defaultColWidth="11" defaultRowHeight="13.5"/>
  <cols>
    <col min="1" max="1" width="8.7109375" style="7" customWidth="1"/>
    <col min="2" max="2" width="1.85546875" style="7" customWidth="1"/>
    <col min="3" max="3" width="15.42578125" style="7" customWidth="1"/>
    <col min="4" max="4" width="42.85546875" style="7" customWidth="1"/>
    <col min="5" max="5" width="13.7109375" style="7" bestFit="1" customWidth="1"/>
    <col min="6" max="6" width="15.140625" style="7" bestFit="1" customWidth="1"/>
    <col min="7" max="7" width="10.42578125" style="7" customWidth="1"/>
    <col min="8" max="8" width="15.7109375" style="7" customWidth="1"/>
    <col min="9" max="9" width="15.28515625" style="7" customWidth="1"/>
    <col min="10" max="10" width="15.28515625" style="7" bestFit="1" customWidth="1"/>
    <col min="11" max="11" width="1.85546875" style="7" customWidth="1"/>
    <col min="12" max="12" width="11.140625" style="7" customWidth="1"/>
    <col min="13" max="13" width="24.28515625" style="7" bestFit="1" customWidth="1"/>
    <col min="14" max="14" width="10" style="7" bestFit="1" customWidth="1"/>
    <col min="15" max="15" width="10.42578125" style="7" bestFit="1" customWidth="1"/>
    <col min="16" max="16" width="18.28515625" style="7" bestFit="1" customWidth="1"/>
    <col min="17" max="16384" width="11" style="7"/>
  </cols>
  <sheetData>
    <row r="1" spans="2:13">
      <c r="M1" s="438" t="s">
        <v>207</v>
      </c>
    </row>
    <row r="2" spans="2:13" ht="15" customHeight="1" thickBot="1">
      <c r="C2" s="121" t="str">
        <f>'STEP 1 - PROJECT DATA'!D6&amp; "." &amp; 'STEP 1 - PROJECT DATA'!D7</f>
        <v>E26-123.0</v>
      </c>
      <c r="D2" s="3"/>
      <c r="E2" s="3"/>
      <c r="F2" s="3"/>
      <c r="G2" s="3"/>
      <c r="H2" s="3"/>
      <c r="I2" s="122" t="str">
        <f>'STEP 4 - ESTIMATE'!I2</f>
        <v>Bid Due Date</v>
      </c>
      <c r="J2" s="123">
        <f>'STEP 4 - ESTIMATE'!K2</f>
        <v>46010</v>
      </c>
      <c r="M2" s="439" t="s">
        <v>208</v>
      </c>
    </row>
    <row r="3" spans="2:13" ht="16.5">
      <c r="B3" s="8"/>
      <c r="C3" s="124" t="str">
        <f>'STEP 1 - PROJECT DATA'!C5</f>
        <v>Project Name</v>
      </c>
      <c r="D3" s="125" t="str">
        <f>'STEP 1 - PROJECT DATA'!D5</f>
        <v>Name</v>
      </c>
      <c r="E3" s="454" t="s">
        <v>209</v>
      </c>
      <c r="F3" s="454"/>
      <c r="G3" s="454"/>
      <c r="H3" s="446" t="str">
        <f>'STEP 1 - PROJECT DATA'!C10</f>
        <v>Expected Start</v>
      </c>
      <c r="I3" s="446"/>
      <c r="J3" s="126">
        <f>'STEP 4 - ESTIMATE'!K3</f>
        <v>46174</v>
      </c>
      <c r="K3" s="11"/>
      <c r="M3" s="440" t="s">
        <v>210</v>
      </c>
    </row>
    <row r="4" spans="2:13" ht="16.5">
      <c r="B4" s="12"/>
      <c r="C4" s="121" t="s">
        <v>17</v>
      </c>
      <c r="D4" s="3" t="str">
        <f>'STEP 1 - PROJECT DATA'!D8</f>
        <v>1234 Main St</v>
      </c>
      <c r="E4" s="455"/>
      <c r="F4" s="455"/>
      <c r="G4" s="455"/>
      <c r="H4" s="447" t="str">
        <f>'STEP 1 - PROJECT DATA'!C11</f>
        <v>Expected Finish</v>
      </c>
      <c r="I4" s="447"/>
      <c r="J4" s="127">
        <f>'STEP 4 - ESTIMATE'!K4</f>
        <v>46235</v>
      </c>
      <c r="K4" s="13"/>
    </row>
    <row r="5" spans="2:13" ht="16.5">
      <c r="B5" s="12"/>
      <c r="C5" s="121"/>
      <c r="D5" s="3" t="str">
        <f>'STEP 1 - PROJECT DATA'!D9</f>
        <v>Minneapolis, MN</v>
      </c>
      <c r="E5" s="3"/>
      <c r="H5" s="447" t="s">
        <v>18</v>
      </c>
      <c r="I5" s="447"/>
      <c r="J5" s="130">
        <f>'STEP 1 - PROJECT DATA'!D28</f>
        <v>2</v>
      </c>
      <c r="K5" s="13"/>
    </row>
    <row r="6" spans="2:13" ht="17.25" thickBot="1">
      <c r="B6" s="12"/>
      <c r="C6" s="121" t="str">
        <f>'STEP 1 - PROJECT DATA'!C13</f>
        <v>Architect</v>
      </c>
      <c r="D6" s="3" t="str">
        <f>'STEP 1 - PROJECT DATA'!D13</f>
        <v>TBD</v>
      </c>
      <c r="E6" s="3"/>
      <c r="F6" s="3"/>
      <c r="G6" s="3"/>
      <c r="H6" s="3"/>
      <c r="I6" s="3"/>
      <c r="J6" s="3"/>
      <c r="K6" s="13"/>
    </row>
    <row r="7" spans="2:13" ht="16.5">
      <c r="B7" s="12"/>
      <c r="C7" s="121" t="str">
        <f>'STEP 1 - PROJECT DATA'!C14</f>
        <v>Plan Set</v>
      </c>
      <c r="D7" s="3" t="str">
        <f>'STEP 1 - PROJECT DATA'!D14</f>
        <v>TBD</v>
      </c>
      <c r="E7" s="3"/>
      <c r="F7" s="3"/>
      <c r="G7" s="3"/>
      <c r="H7" s="3"/>
      <c r="I7" s="3"/>
      <c r="J7" s="131" t="s">
        <v>211</v>
      </c>
      <c r="K7" s="13"/>
    </row>
    <row r="8" spans="2:13" ht="17.25" thickBot="1">
      <c r="B8" s="12"/>
      <c r="C8" s="3"/>
      <c r="D8" s="3"/>
      <c r="E8" s="3"/>
      <c r="F8" s="3"/>
      <c r="G8" s="3"/>
      <c r="H8" s="3"/>
      <c r="I8" s="3"/>
      <c r="J8" s="132">
        <f>'STEP 1 - PROJECT DATA'!D12</f>
        <v>10</v>
      </c>
      <c r="K8" s="13"/>
    </row>
    <row r="9" spans="2:13" ht="17.25" thickBot="1">
      <c r="B9" s="12"/>
      <c r="C9" s="175" t="s">
        <v>212</v>
      </c>
      <c r="D9" s="176" t="s">
        <v>91</v>
      </c>
      <c r="E9" s="176" t="s">
        <v>213</v>
      </c>
      <c r="F9" s="176" t="s">
        <v>149</v>
      </c>
      <c r="G9" s="176" t="s">
        <v>150</v>
      </c>
      <c r="H9" s="176" t="s">
        <v>214</v>
      </c>
      <c r="I9" s="176" t="s">
        <v>178</v>
      </c>
      <c r="J9" s="187" t="s">
        <v>215</v>
      </c>
      <c r="K9" s="52"/>
    </row>
    <row r="10" spans="2:13" ht="16.5">
      <c r="B10" s="12"/>
      <c r="C10" s="476" t="s">
        <v>216</v>
      </c>
      <c r="D10" s="477" t="s">
        <v>217</v>
      </c>
      <c r="E10" s="190"/>
      <c r="F10" s="180"/>
      <c r="G10" s="180"/>
      <c r="H10" s="180"/>
      <c r="I10" s="188"/>
      <c r="J10" s="189"/>
      <c r="K10" s="13"/>
    </row>
    <row r="11" spans="2:13" ht="14.1" customHeight="1">
      <c r="B11" s="12"/>
      <c r="C11" s="53"/>
      <c r="D11" s="54"/>
      <c r="E11" s="54"/>
      <c r="F11" s="174"/>
      <c r="G11" s="56"/>
      <c r="H11" s="172"/>
      <c r="I11" s="57"/>
      <c r="J11" s="58"/>
      <c r="K11" s="13"/>
    </row>
    <row r="12" spans="2:13" ht="14.1" customHeight="1">
      <c r="B12" s="12"/>
      <c r="C12" s="53" t="s">
        <v>218</v>
      </c>
      <c r="D12" s="54" t="s">
        <v>219</v>
      </c>
      <c r="E12" s="55">
        <v>1</v>
      </c>
      <c r="F12" s="173">
        <f>$J$5*4.33*E12*40</f>
        <v>346.4</v>
      </c>
      <c r="G12" s="56" t="s">
        <v>220</v>
      </c>
      <c r="H12" s="172">
        <v>125</v>
      </c>
      <c r="I12" s="136">
        <f t="shared" ref="I12:I13" si="0">F12*H12</f>
        <v>43300</v>
      </c>
      <c r="J12" s="139">
        <f t="shared" ref="J12:J14" si="1">IF($J$8=0, 0, I12/$J$8)</f>
        <v>4330</v>
      </c>
      <c r="K12" s="13"/>
    </row>
    <row r="13" spans="2:13" ht="14.1" customHeight="1">
      <c r="B13" s="12"/>
      <c r="C13" s="53" t="s">
        <v>221</v>
      </c>
      <c r="D13" s="54" t="s">
        <v>222</v>
      </c>
      <c r="E13" s="55">
        <v>0</v>
      </c>
      <c r="F13" s="173">
        <f>$J$5*4.33*E13*40</f>
        <v>0</v>
      </c>
      <c r="G13" s="56" t="s">
        <v>220</v>
      </c>
      <c r="H13" s="172">
        <v>110</v>
      </c>
      <c r="I13" s="136">
        <f t="shared" si="0"/>
        <v>0</v>
      </c>
      <c r="J13" s="139">
        <f t="shared" si="1"/>
        <v>0</v>
      </c>
      <c r="K13" s="13"/>
    </row>
    <row r="14" spans="2:13" ht="14.1" customHeight="1">
      <c r="B14" s="12"/>
      <c r="C14" s="53" t="s">
        <v>223</v>
      </c>
      <c r="D14" s="54" t="s">
        <v>224</v>
      </c>
      <c r="E14" s="55">
        <v>0</v>
      </c>
      <c r="F14" s="173">
        <f>$J$5*4.33*E14*40</f>
        <v>0</v>
      </c>
      <c r="G14" s="56" t="s">
        <v>220</v>
      </c>
      <c r="H14" s="172">
        <v>85</v>
      </c>
      <c r="I14" s="136">
        <f>F14*H14</f>
        <v>0</v>
      </c>
      <c r="J14" s="139">
        <f t="shared" si="1"/>
        <v>0</v>
      </c>
      <c r="K14" s="13"/>
    </row>
    <row r="15" spans="2:13" ht="14.1" customHeight="1">
      <c r="B15" s="12"/>
      <c r="C15" s="53"/>
      <c r="D15" s="54"/>
      <c r="E15" s="54"/>
      <c r="F15" s="174"/>
      <c r="G15" s="56"/>
      <c r="H15" s="172"/>
      <c r="I15" s="57"/>
      <c r="J15" s="58"/>
      <c r="K15" s="13"/>
    </row>
    <row r="16" spans="2:13" ht="19.5" thickBot="1">
      <c r="B16" s="12"/>
      <c r="C16" s="59"/>
      <c r="D16" s="60"/>
      <c r="E16" s="60"/>
      <c r="F16" s="61"/>
      <c r="G16" s="62"/>
      <c r="H16" s="63" t="s">
        <v>225</v>
      </c>
      <c r="I16" s="140">
        <f>SUM(I11:I15)</f>
        <v>43300</v>
      </c>
      <c r="J16" s="141">
        <f>IF($J$8=0, 0, I16/$J$8)</f>
        <v>4330</v>
      </c>
      <c r="K16" s="66"/>
    </row>
    <row r="17" spans="2:13" ht="16.5">
      <c r="B17" s="12"/>
      <c r="C17" s="443" t="s">
        <v>226</v>
      </c>
      <c r="D17" s="444" t="s">
        <v>217</v>
      </c>
      <c r="E17" s="318">
        <f>SUM(I18:I24)</f>
        <v>0</v>
      </c>
      <c r="F17" s="180"/>
      <c r="G17" s="180"/>
      <c r="H17" s="180"/>
      <c r="I17" s="188"/>
      <c r="J17" s="189"/>
      <c r="K17" s="13"/>
    </row>
    <row r="18" spans="2:13" ht="14.1" customHeight="1">
      <c r="B18" s="12"/>
      <c r="C18" s="53"/>
      <c r="D18" s="54"/>
      <c r="E18" s="54"/>
      <c r="F18" s="174"/>
      <c r="G18" s="56"/>
      <c r="H18" s="172"/>
      <c r="I18" s="57"/>
      <c r="J18" s="58"/>
      <c r="K18" s="13"/>
    </row>
    <row r="19" spans="2:13" ht="14.1" customHeight="1">
      <c r="B19" s="12"/>
      <c r="C19" s="53" t="s">
        <v>227</v>
      </c>
      <c r="D19" s="54" t="s">
        <v>228</v>
      </c>
      <c r="E19" s="54"/>
      <c r="F19" s="174">
        <v>0</v>
      </c>
      <c r="G19" s="56" t="s">
        <v>229</v>
      </c>
      <c r="H19" s="172">
        <v>0</v>
      </c>
      <c r="I19" s="136">
        <f>F19*H19</f>
        <v>0</v>
      </c>
      <c r="J19" s="139">
        <f t="shared" ref="J19:J56" si="2">IF($J$8=0, 0, I19/$J$8)</f>
        <v>0</v>
      </c>
      <c r="K19" s="13"/>
    </row>
    <row r="20" spans="2:13" ht="14.1" customHeight="1">
      <c r="B20" s="12"/>
      <c r="C20" s="53" t="s">
        <v>230</v>
      </c>
      <c r="D20" s="54" t="s">
        <v>231</v>
      </c>
      <c r="E20" s="54"/>
      <c r="F20" s="174">
        <v>0</v>
      </c>
      <c r="G20" s="56" t="s">
        <v>229</v>
      </c>
      <c r="H20" s="172">
        <v>0</v>
      </c>
      <c r="I20" s="136">
        <f>F20*H20</f>
        <v>0</v>
      </c>
      <c r="J20" s="139">
        <f t="shared" si="2"/>
        <v>0</v>
      </c>
      <c r="K20" s="13"/>
    </row>
    <row r="21" spans="2:13" ht="14.1" customHeight="1">
      <c r="B21" s="12"/>
      <c r="C21" s="53" t="s">
        <v>232</v>
      </c>
      <c r="D21" s="54" t="s">
        <v>233</v>
      </c>
      <c r="E21" s="54"/>
      <c r="F21" s="174">
        <v>0</v>
      </c>
      <c r="G21" s="56" t="s">
        <v>229</v>
      </c>
      <c r="H21" s="172">
        <v>0</v>
      </c>
      <c r="I21" s="136">
        <f>F21*H21</f>
        <v>0</v>
      </c>
      <c r="J21" s="139">
        <f t="shared" si="2"/>
        <v>0</v>
      </c>
      <c r="K21" s="13"/>
    </row>
    <row r="22" spans="2:13" ht="14.1" customHeight="1">
      <c r="B22" s="12"/>
      <c r="C22" s="53" t="s">
        <v>234</v>
      </c>
      <c r="D22" s="54" t="s">
        <v>235</v>
      </c>
      <c r="E22" s="54"/>
      <c r="F22" s="174">
        <v>0</v>
      </c>
      <c r="G22" s="56" t="s">
        <v>229</v>
      </c>
      <c r="H22" s="172">
        <v>0</v>
      </c>
      <c r="I22" s="136">
        <f>F22*H22</f>
        <v>0</v>
      </c>
      <c r="J22" s="139">
        <f t="shared" si="2"/>
        <v>0</v>
      </c>
      <c r="K22" s="13"/>
    </row>
    <row r="23" spans="2:13" ht="14.1" customHeight="1">
      <c r="B23" s="12"/>
      <c r="C23" s="53" t="s">
        <v>236</v>
      </c>
      <c r="D23" s="54" t="s">
        <v>237</v>
      </c>
      <c r="E23" s="54"/>
      <c r="F23" s="174">
        <v>0</v>
      </c>
      <c r="G23" s="56" t="s">
        <v>229</v>
      </c>
      <c r="H23" s="172">
        <v>0</v>
      </c>
      <c r="I23" s="136">
        <f>F23*H23</f>
        <v>0</v>
      </c>
      <c r="J23" s="139">
        <f t="shared" si="2"/>
        <v>0</v>
      </c>
      <c r="K23" s="13"/>
    </row>
    <row r="24" spans="2:13" ht="14.1" customHeight="1" thickBot="1">
      <c r="B24" s="12"/>
      <c r="C24" s="53"/>
      <c r="D24" s="54"/>
      <c r="E24" s="54"/>
      <c r="F24" s="174"/>
      <c r="G24" s="56"/>
      <c r="H24" s="172"/>
      <c r="I24" s="57"/>
      <c r="J24" s="58"/>
      <c r="K24" s="13"/>
    </row>
    <row r="25" spans="2:13" ht="17.25" thickBot="1">
      <c r="B25" s="12"/>
      <c r="C25" s="443" t="s">
        <v>238</v>
      </c>
      <c r="D25" s="444" t="s">
        <v>217</v>
      </c>
      <c r="E25" s="318">
        <f>SUM(I26:I32)</f>
        <v>23382</v>
      </c>
      <c r="F25" s="180"/>
      <c r="G25" s="180"/>
      <c r="H25" s="180"/>
      <c r="I25" s="188"/>
      <c r="J25" s="189"/>
      <c r="K25" s="13"/>
      <c r="L25" s="307">
        <f>E25/'STEP 4 - ESTIMATE'!$I$341</f>
        <v>0.19918473429330066</v>
      </c>
      <c r="M25" s="7" t="s">
        <v>239</v>
      </c>
    </row>
    <row r="26" spans="2:13" ht="14.1" customHeight="1">
      <c r="B26" s="12"/>
      <c r="C26" s="53"/>
      <c r="D26" s="54"/>
      <c r="E26" s="54"/>
      <c r="F26" s="174"/>
      <c r="G26" s="56"/>
      <c r="H26" s="172"/>
      <c r="I26" s="57"/>
      <c r="J26" s="58"/>
      <c r="K26" s="13"/>
      <c r="M26"/>
    </row>
    <row r="27" spans="2:13" ht="14.1" customHeight="1">
      <c r="B27" s="12"/>
      <c r="C27" s="53" t="s">
        <v>240</v>
      </c>
      <c r="D27" s="54" t="s">
        <v>241</v>
      </c>
      <c r="E27" s="55">
        <v>0</v>
      </c>
      <c r="F27" s="173">
        <f t="shared" ref="F27:F31" si="3">$J$5*4.33*E27*40</f>
        <v>0</v>
      </c>
      <c r="G27" s="56" t="s">
        <v>220</v>
      </c>
      <c r="H27" s="172">
        <v>175</v>
      </c>
      <c r="I27" s="136">
        <f>F27*H27</f>
        <v>0</v>
      </c>
      <c r="J27" s="142">
        <f>IF($J$8=0, 0, I27/$J$8)</f>
        <v>0</v>
      </c>
      <c r="K27" s="13"/>
    </row>
    <row r="28" spans="2:13" ht="14.1" customHeight="1">
      <c r="B28" s="12"/>
      <c r="C28" s="53" t="s">
        <v>242</v>
      </c>
      <c r="D28" s="54" t="s">
        <v>243</v>
      </c>
      <c r="E28" s="55">
        <v>0.5</v>
      </c>
      <c r="F28" s="173">
        <f t="shared" si="3"/>
        <v>173.2</v>
      </c>
      <c r="G28" s="56" t="s">
        <v>220</v>
      </c>
      <c r="H28" s="172">
        <v>135</v>
      </c>
      <c r="I28" s="136">
        <f>F28*H28</f>
        <v>23382</v>
      </c>
      <c r="J28" s="142">
        <f>IF($J$8=0, 0, I28/$J$8)</f>
        <v>2338.1999999999998</v>
      </c>
      <c r="K28" s="13"/>
      <c r="L28" s="42"/>
    </row>
    <row r="29" spans="2:13" ht="14.1" customHeight="1">
      <c r="B29" s="12"/>
      <c r="C29" s="53" t="s">
        <v>244</v>
      </c>
      <c r="D29" s="54" t="s">
        <v>245</v>
      </c>
      <c r="E29" s="55">
        <v>0</v>
      </c>
      <c r="F29" s="173">
        <f t="shared" si="3"/>
        <v>0</v>
      </c>
      <c r="G29" s="56" t="s">
        <v>220</v>
      </c>
      <c r="H29" s="172">
        <v>120</v>
      </c>
      <c r="I29" s="136">
        <f>F29*H29</f>
        <v>0</v>
      </c>
      <c r="J29" s="142">
        <f>IF($J$8=0, 0, I29/$J$8)</f>
        <v>0</v>
      </c>
      <c r="K29" s="13"/>
      <c r="L29" s="42"/>
    </row>
    <row r="30" spans="2:13" ht="14.1" customHeight="1">
      <c r="B30" s="12"/>
      <c r="C30" s="53" t="s">
        <v>246</v>
      </c>
      <c r="D30" s="54" t="s">
        <v>247</v>
      </c>
      <c r="E30" s="55">
        <v>0</v>
      </c>
      <c r="F30" s="173">
        <f t="shared" si="3"/>
        <v>0</v>
      </c>
      <c r="G30" s="56" t="s">
        <v>220</v>
      </c>
      <c r="H30" s="172">
        <v>85</v>
      </c>
      <c r="I30" s="136">
        <f>F30*H30</f>
        <v>0</v>
      </c>
      <c r="J30" s="142">
        <f>IF($J$8=0, 0, I30/$J$8)</f>
        <v>0</v>
      </c>
      <c r="K30" s="13"/>
    </row>
    <row r="31" spans="2:13" ht="14.1" customHeight="1">
      <c r="B31" s="12"/>
      <c r="C31" s="53" t="s">
        <v>248</v>
      </c>
      <c r="D31" s="54" t="s">
        <v>249</v>
      </c>
      <c r="E31" s="55">
        <v>0</v>
      </c>
      <c r="F31" s="173">
        <f t="shared" si="3"/>
        <v>0</v>
      </c>
      <c r="G31" s="56" t="s">
        <v>220</v>
      </c>
      <c r="H31" s="172">
        <v>55</v>
      </c>
      <c r="I31" s="136">
        <f>F31*H31</f>
        <v>0</v>
      </c>
      <c r="J31" s="142">
        <f>IF($J$8=0, 0, I31/$J$8)</f>
        <v>0</v>
      </c>
      <c r="K31" s="13"/>
    </row>
    <row r="32" spans="2:13" ht="14.1" customHeight="1" thickBot="1">
      <c r="B32" s="12"/>
      <c r="C32" s="53"/>
      <c r="D32" s="54"/>
      <c r="E32" s="54"/>
      <c r="F32" s="174"/>
      <c r="G32" s="56"/>
      <c r="H32" s="172"/>
      <c r="I32" s="57"/>
      <c r="J32" s="58"/>
      <c r="K32" s="13"/>
    </row>
    <row r="33" spans="2:13" ht="16.5">
      <c r="B33" s="12"/>
      <c r="C33" s="443" t="s">
        <v>250</v>
      </c>
      <c r="D33" s="444" t="s">
        <v>217</v>
      </c>
      <c r="E33" s="318">
        <f>SUM(I34:I57)</f>
        <v>41316.850233333331</v>
      </c>
      <c r="F33" s="180"/>
      <c r="G33" s="180"/>
      <c r="H33" s="180"/>
      <c r="I33" s="188"/>
      <c r="J33" s="189"/>
      <c r="K33" s="13"/>
    </row>
    <row r="34" spans="2:13" ht="14.1" customHeight="1" thickBot="1">
      <c r="B34" s="12"/>
      <c r="C34" s="53"/>
      <c r="D34" s="54"/>
      <c r="E34" s="54"/>
      <c r="F34" s="174"/>
      <c r="G34" s="56"/>
      <c r="H34" s="172"/>
      <c r="I34" s="57"/>
      <c r="J34" s="58"/>
      <c r="K34" s="13"/>
      <c r="M34" s="361"/>
    </row>
    <row r="35" spans="2:13" ht="14.1" customHeight="1" thickBot="1">
      <c r="B35" s="12"/>
      <c r="C35" s="53" t="s">
        <v>251</v>
      </c>
      <c r="D35" s="54" t="s">
        <v>252</v>
      </c>
      <c r="E35" s="56" t="s">
        <v>253</v>
      </c>
      <c r="F35" s="308">
        <v>2.0000000000000001E-4</v>
      </c>
      <c r="G35" s="56" t="s">
        <v>254</v>
      </c>
      <c r="H35" s="359">
        <v>117389</v>
      </c>
      <c r="I35" s="136">
        <f t="shared" ref="I35:I56" si="4">F35*H35</f>
        <v>23.477800000000002</v>
      </c>
      <c r="J35" s="139">
        <f t="shared" si="2"/>
        <v>2.3477800000000002</v>
      </c>
      <c r="K35" s="13"/>
      <c r="L35" s="360">
        <f>'STEP 4 - ESTIMATE'!$I$341</f>
        <v>117388.51414973334</v>
      </c>
      <c r="M35" s="7" t="s">
        <v>255</v>
      </c>
    </row>
    <row r="36" spans="2:13" ht="14.1" customHeight="1">
      <c r="B36" s="12"/>
      <c r="C36" s="53" t="s">
        <v>256</v>
      </c>
      <c r="D36" s="54" t="s">
        <v>257</v>
      </c>
      <c r="E36" s="54"/>
      <c r="F36" s="174">
        <f>$J$5</f>
        <v>2</v>
      </c>
      <c r="G36" s="56" t="s">
        <v>258</v>
      </c>
      <c r="H36" s="172">
        <v>500</v>
      </c>
      <c r="I36" s="136">
        <f t="shared" si="4"/>
        <v>1000</v>
      </c>
      <c r="J36" s="139">
        <f t="shared" si="2"/>
        <v>100</v>
      </c>
      <c r="K36" s="13"/>
    </row>
    <row r="37" spans="2:13" ht="14.1" customHeight="1">
      <c r="B37" s="12"/>
      <c r="C37" s="53" t="s">
        <v>259</v>
      </c>
      <c r="D37" s="54" t="s">
        <v>260</v>
      </c>
      <c r="E37" s="55">
        <v>1</v>
      </c>
      <c r="F37" s="173">
        <f>$J$5*E37</f>
        <v>2</v>
      </c>
      <c r="G37" s="56" t="s">
        <v>258</v>
      </c>
      <c r="H37" s="172">
        <v>1200</v>
      </c>
      <c r="I37" s="136">
        <f t="shared" si="4"/>
        <v>2400</v>
      </c>
      <c r="J37" s="139">
        <f t="shared" si="2"/>
        <v>240</v>
      </c>
      <c r="K37" s="13"/>
    </row>
    <row r="38" spans="2:13" ht="14.1" customHeight="1">
      <c r="B38" s="12"/>
      <c r="C38" s="53" t="s">
        <v>261</v>
      </c>
      <c r="D38" s="54" t="s">
        <v>262</v>
      </c>
      <c r="E38" s="54"/>
      <c r="F38" s="174">
        <v>0</v>
      </c>
      <c r="G38" s="56" t="s">
        <v>258</v>
      </c>
      <c r="H38" s="172">
        <v>0</v>
      </c>
      <c r="I38" s="136">
        <f t="shared" si="4"/>
        <v>0</v>
      </c>
      <c r="J38" s="139">
        <f t="shared" si="2"/>
        <v>0</v>
      </c>
      <c r="K38" s="13"/>
    </row>
    <row r="39" spans="2:13" ht="14.1" customHeight="1">
      <c r="B39" s="12"/>
      <c r="C39" s="53" t="s">
        <v>263</v>
      </c>
      <c r="D39" s="54" t="s">
        <v>264</v>
      </c>
      <c r="E39" s="56" t="s">
        <v>253</v>
      </c>
      <c r="F39" s="308">
        <v>1.9E-3</v>
      </c>
      <c r="G39" s="56" t="s">
        <v>254</v>
      </c>
      <c r="H39" s="359">
        <f>H35</f>
        <v>117389</v>
      </c>
      <c r="I39" s="136">
        <f>F39*H39</f>
        <v>223.03909999999999</v>
      </c>
      <c r="J39" s="139">
        <f>IF($J$8=0, 0, I39/$J$8)</f>
        <v>22.303909999999998</v>
      </c>
      <c r="K39" s="13"/>
      <c r="L39" s="7" t="s">
        <v>265</v>
      </c>
    </row>
    <row r="40" spans="2:13" ht="14.1" customHeight="1">
      <c r="B40" s="12"/>
      <c r="C40" s="53" t="s">
        <v>266</v>
      </c>
      <c r="D40" s="54" t="s">
        <v>267</v>
      </c>
      <c r="E40" s="54"/>
      <c r="F40" s="174">
        <f>$J$5</f>
        <v>2</v>
      </c>
      <c r="G40" s="56" t="s">
        <v>258</v>
      </c>
      <c r="H40" s="172">
        <v>500</v>
      </c>
      <c r="I40" s="136">
        <f t="shared" si="4"/>
        <v>1000</v>
      </c>
      <c r="J40" s="139">
        <f t="shared" si="2"/>
        <v>100</v>
      </c>
      <c r="K40" s="13"/>
    </row>
    <row r="41" spans="2:13" ht="14.1" customHeight="1">
      <c r="B41" s="12"/>
      <c r="C41" s="53" t="s">
        <v>268</v>
      </c>
      <c r="D41" s="54" t="s">
        <v>269</v>
      </c>
      <c r="E41" s="54"/>
      <c r="F41" s="174">
        <v>1</v>
      </c>
      <c r="G41" s="56" t="s">
        <v>144</v>
      </c>
      <c r="H41" s="172">
        <v>9000</v>
      </c>
      <c r="I41" s="136">
        <f t="shared" ref="I41" si="5">F41*H41</f>
        <v>9000</v>
      </c>
      <c r="J41" s="139">
        <f t="shared" si="2"/>
        <v>900</v>
      </c>
      <c r="K41" s="13"/>
    </row>
    <row r="42" spans="2:13" ht="14.1" customHeight="1">
      <c r="B42" s="12"/>
      <c r="C42" s="53" t="s">
        <v>268</v>
      </c>
      <c r="D42" s="54" t="s">
        <v>270</v>
      </c>
      <c r="E42" s="54"/>
      <c r="F42" s="174">
        <f>$J$5</f>
        <v>2</v>
      </c>
      <c r="G42" s="56" t="s">
        <v>258</v>
      </c>
      <c r="H42" s="172">
        <v>850</v>
      </c>
      <c r="I42" s="136">
        <f t="shared" si="4"/>
        <v>1700</v>
      </c>
      <c r="J42" s="139">
        <f t="shared" si="2"/>
        <v>170</v>
      </c>
      <c r="K42" s="13"/>
    </row>
    <row r="43" spans="2:13" ht="14.1" customHeight="1">
      <c r="B43" s="12"/>
      <c r="C43" s="53" t="s">
        <v>271</v>
      </c>
      <c r="D43" s="54" t="s">
        <v>272</v>
      </c>
      <c r="E43" s="56" t="s">
        <v>253</v>
      </c>
      <c r="F43" s="174">
        <f>$J$5</f>
        <v>2</v>
      </c>
      <c r="G43" s="56" t="s">
        <v>258</v>
      </c>
      <c r="H43" s="172">
        <v>135</v>
      </c>
      <c r="I43" s="136">
        <f t="shared" si="4"/>
        <v>270</v>
      </c>
      <c r="J43" s="139">
        <f t="shared" si="2"/>
        <v>27</v>
      </c>
      <c r="K43" s="13"/>
    </row>
    <row r="44" spans="2:13" ht="14.1" customHeight="1">
      <c r="B44" s="12"/>
      <c r="C44" s="53" t="s">
        <v>273</v>
      </c>
      <c r="D44" s="54" t="s">
        <v>274</v>
      </c>
      <c r="E44" s="54"/>
      <c r="F44" s="174">
        <f>$J$5</f>
        <v>2</v>
      </c>
      <c r="G44" s="56" t="s">
        <v>258</v>
      </c>
      <c r="H44" s="172">
        <v>250</v>
      </c>
      <c r="I44" s="136">
        <f t="shared" si="4"/>
        <v>500</v>
      </c>
      <c r="J44" s="139">
        <f t="shared" si="2"/>
        <v>50</v>
      </c>
      <c r="K44" s="13"/>
    </row>
    <row r="45" spans="2:13" ht="14.1" customHeight="1">
      <c r="B45" s="12"/>
      <c r="C45" s="53" t="s">
        <v>275</v>
      </c>
      <c r="D45" s="54" t="s">
        <v>276</v>
      </c>
      <c r="E45" s="54"/>
      <c r="F45" s="174">
        <f>$J$5</f>
        <v>2</v>
      </c>
      <c r="G45" s="56" t="s">
        <v>258</v>
      </c>
      <c r="H45" s="172">
        <v>300</v>
      </c>
      <c r="I45" s="136">
        <f t="shared" si="4"/>
        <v>600</v>
      </c>
      <c r="J45" s="139">
        <f t="shared" si="2"/>
        <v>60</v>
      </c>
      <c r="K45" s="13"/>
    </row>
    <row r="46" spans="2:13" ht="14.1" customHeight="1">
      <c r="B46" s="12"/>
      <c r="C46" s="53" t="s">
        <v>277</v>
      </c>
      <c r="D46" s="54" t="s">
        <v>278</v>
      </c>
      <c r="E46" s="54"/>
      <c r="F46" s="174">
        <f>$J$5</f>
        <v>2</v>
      </c>
      <c r="G46" s="56" t="s">
        <v>258</v>
      </c>
      <c r="H46" s="172">
        <v>800</v>
      </c>
      <c r="I46" s="136">
        <f t="shared" si="4"/>
        <v>1600</v>
      </c>
      <c r="J46" s="139">
        <f t="shared" si="2"/>
        <v>160</v>
      </c>
      <c r="K46" s="13"/>
    </row>
    <row r="47" spans="2:13" ht="14.1" customHeight="1">
      <c r="B47" s="12"/>
      <c r="C47" s="53" t="s">
        <v>279</v>
      </c>
      <c r="D47" s="54" t="s">
        <v>280</v>
      </c>
      <c r="E47" s="54"/>
      <c r="F47" s="174">
        <f>$J$5*4</f>
        <v>8</v>
      </c>
      <c r="G47" s="56" t="s">
        <v>144</v>
      </c>
      <c r="H47" s="172">
        <v>650</v>
      </c>
      <c r="I47" s="136">
        <f t="shared" si="4"/>
        <v>5200</v>
      </c>
      <c r="J47" s="139">
        <f t="shared" si="2"/>
        <v>520</v>
      </c>
      <c r="K47" s="13"/>
    </row>
    <row r="48" spans="2:13" ht="14.1" customHeight="1">
      <c r="B48" s="12"/>
      <c r="C48" s="53" t="s">
        <v>281</v>
      </c>
      <c r="D48" s="54" t="s">
        <v>282</v>
      </c>
      <c r="E48" s="54"/>
      <c r="F48" s="174">
        <f>$J$5</f>
        <v>2</v>
      </c>
      <c r="G48" s="56" t="s">
        <v>258</v>
      </c>
      <c r="H48" s="172">
        <v>1000</v>
      </c>
      <c r="I48" s="136">
        <f t="shared" si="4"/>
        <v>2000</v>
      </c>
      <c r="J48" s="139">
        <f t="shared" si="2"/>
        <v>200</v>
      </c>
      <c r="K48" s="13"/>
    </row>
    <row r="49" spans="2:11" ht="14.1" customHeight="1">
      <c r="B49" s="12"/>
      <c r="C49" s="53" t="s">
        <v>283</v>
      </c>
      <c r="D49" s="54" t="s">
        <v>284</v>
      </c>
      <c r="E49" s="54"/>
      <c r="F49" s="174">
        <f>J8/3000</f>
        <v>3.3333333333333335E-3</v>
      </c>
      <c r="G49" s="56" t="s">
        <v>144</v>
      </c>
      <c r="H49" s="172">
        <v>100</v>
      </c>
      <c r="I49" s="136">
        <f t="shared" si="4"/>
        <v>0.33333333333333337</v>
      </c>
      <c r="J49" s="139">
        <f t="shared" si="2"/>
        <v>3.333333333333334E-2</v>
      </c>
      <c r="K49" s="13"/>
    </row>
    <row r="50" spans="2:11" ht="14.1" customHeight="1">
      <c r="B50" s="12"/>
      <c r="C50" s="53" t="s">
        <v>285</v>
      </c>
      <c r="D50" s="54" t="s">
        <v>286</v>
      </c>
      <c r="E50" s="54"/>
      <c r="F50" s="174">
        <v>1</v>
      </c>
      <c r="G50" s="56" t="s">
        <v>144</v>
      </c>
      <c r="H50" s="172">
        <v>1500</v>
      </c>
      <c r="I50" s="136">
        <f>F50*H50</f>
        <v>1500</v>
      </c>
      <c r="J50" s="139">
        <f t="shared" si="2"/>
        <v>150</v>
      </c>
      <c r="K50" s="13"/>
    </row>
    <row r="51" spans="2:11" ht="14.1" customHeight="1">
      <c r="B51" s="12"/>
      <c r="C51" s="53" t="s">
        <v>287</v>
      </c>
      <c r="D51" s="54" t="s">
        <v>288</v>
      </c>
      <c r="E51" s="54"/>
      <c r="F51" s="174">
        <f>$J$5</f>
        <v>2</v>
      </c>
      <c r="G51" s="56" t="s">
        <v>258</v>
      </c>
      <c r="H51" s="172">
        <v>2500</v>
      </c>
      <c r="I51" s="136">
        <f t="shared" si="4"/>
        <v>5000</v>
      </c>
      <c r="J51" s="139">
        <f t="shared" si="2"/>
        <v>500</v>
      </c>
      <c r="K51" s="13"/>
    </row>
    <row r="52" spans="2:11" ht="14.1" customHeight="1">
      <c r="B52" s="12"/>
      <c r="C52" s="53" t="s">
        <v>289</v>
      </c>
      <c r="D52" s="54" t="s">
        <v>290</v>
      </c>
      <c r="E52" s="54"/>
      <c r="F52" s="174">
        <f>$J$5</f>
        <v>2</v>
      </c>
      <c r="G52" s="56" t="s">
        <v>258</v>
      </c>
      <c r="H52" s="172">
        <v>900</v>
      </c>
      <c r="I52" s="136">
        <f t="shared" si="4"/>
        <v>1800</v>
      </c>
      <c r="J52" s="139">
        <f t="shared" si="2"/>
        <v>180</v>
      </c>
      <c r="K52" s="13"/>
    </row>
    <row r="53" spans="2:11" ht="14.1" customHeight="1">
      <c r="B53" s="12"/>
      <c r="C53" s="53" t="s">
        <v>291</v>
      </c>
      <c r="D53" s="54" t="s">
        <v>292</v>
      </c>
      <c r="E53" s="54"/>
      <c r="F53" s="174">
        <f>$J$5</f>
        <v>2</v>
      </c>
      <c r="G53" s="56" t="s">
        <v>258</v>
      </c>
      <c r="H53" s="172">
        <v>650</v>
      </c>
      <c r="I53" s="136">
        <f t="shared" si="4"/>
        <v>1300</v>
      </c>
      <c r="J53" s="139">
        <f t="shared" si="2"/>
        <v>130</v>
      </c>
      <c r="K53" s="13"/>
    </row>
    <row r="54" spans="2:11" ht="14.1" customHeight="1">
      <c r="B54" s="12"/>
      <c r="C54" s="53" t="s">
        <v>293</v>
      </c>
      <c r="D54" s="54" t="s">
        <v>294</v>
      </c>
      <c r="E54" s="54"/>
      <c r="F54" s="174">
        <f>$J$5</f>
        <v>2</v>
      </c>
      <c r="G54" s="56" t="s">
        <v>258</v>
      </c>
      <c r="H54" s="172">
        <v>350</v>
      </c>
      <c r="I54" s="136">
        <f t="shared" si="4"/>
        <v>700</v>
      </c>
      <c r="J54" s="139">
        <f t="shared" si="2"/>
        <v>70</v>
      </c>
      <c r="K54" s="13"/>
    </row>
    <row r="55" spans="2:11" ht="14.1" customHeight="1">
      <c r="B55" s="12"/>
      <c r="C55" s="53" t="s">
        <v>295</v>
      </c>
      <c r="D55" s="54" t="s">
        <v>296</v>
      </c>
      <c r="E55" s="54"/>
      <c r="F55" s="174">
        <f>$J$5</f>
        <v>2</v>
      </c>
      <c r="G55" s="56" t="s">
        <v>258</v>
      </c>
      <c r="H55" s="172">
        <v>250</v>
      </c>
      <c r="I55" s="136">
        <f t="shared" si="4"/>
        <v>500</v>
      </c>
      <c r="J55" s="139">
        <f t="shared" si="2"/>
        <v>50</v>
      </c>
      <c r="K55" s="13"/>
    </row>
    <row r="56" spans="2:11" ht="14.1" customHeight="1">
      <c r="B56" s="12"/>
      <c r="C56" s="53" t="s">
        <v>297</v>
      </c>
      <c r="D56" s="54" t="s">
        <v>298</v>
      </c>
      <c r="E56" s="54"/>
      <c r="F56" s="174">
        <v>1</v>
      </c>
      <c r="G56" s="56" t="s">
        <v>229</v>
      </c>
      <c r="H56" s="172">
        <v>5000</v>
      </c>
      <c r="I56" s="136">
        <f t="shared" si="4"/>
        <v>5000</v>
      </c>
      <c r="J56" s="139">
        <f t="shared" si="2"/>
        <v>500</v>
      </c>
      <c r="K56" s="13"/>
    </row>
    <row r="57" spans="2:11" ht="14.1" customHeight="1">
      <c r="B57" s="12"/>
      <c r="C57" s="53"/>
      <c r="D57" s="54"/>
      <c r="E57" s="54"/>
      <c r="F57" s="174"/>
      <c r="G57" s="56"/>
      <c r="H57" s="172"/>
      <c r="I57" s="57"/>
      <c r="J57" s="58"/>
      <c r="K57" s="13"/>
    </row>
    <row r="58" spans="2:11" ht="19.5" thickBot="1">
      <c r="B58" s="12"/>
      <c r="C58" s="59"/>
      <c r="D58" s="60"/>
      <c r="E58" s="60"/>
      <c r="F58" s="61"/>
      <c r="G58" s="62"/>
      <c r="H58" s="63" t="s">
        <v>299</v>
      </c>
      <c r="I58" s="140">
        <f>SUM(I18:I57)</f>
        <v>64698.850233333338</v>
      </c>
      <c r="J58" s="141">
        <f>IF($J$8=0, 0, I58/$J$8)</f>
        <v>6469.8850233333342</v>
      </c>
      <c r="K58" s="66"/>
    </row>
    <row r="59" spans="2:11" ht="14.25" thickBot="1">
      <c r="B59" s="38"/>
      <c r="C59" s="39"/>
      <c r="D59" s="39"/>
      <c r="E59" s="39"/>
      <c r="F59" s="39"/>
      <c r="G59" s="39"/>
      <c r="H59" s="39"/>
      <c r="I59" s="39"/>
      <c r="J59" s="39"/>
      <c r="K59" s="40"/>
    </row>
    <row r="60" spans="2:11" ht="9.6" customHeight="1" thickBot="1"/>
    <row r="61" spans="2:11" ht="17.25" thickBot="1">
      <c r="H61" s="128" t="s">
        <v>300</v>
      </c>
      <c r="I61" s="129">
        <f>(I16+I58)/'STEP 4 - ESTIMATE'!I331</f>
        <v>0.97521279723594989</v>
      </c>
    </row>
    <row r="62" spans="2:11" ht="12.6" customHeight="1"/>
    <row r="63" spans="2:11" ht="12.6" customHeight="1"/>
    <row r="64" spans="2:11" ht="12.6" customHeight="1"/>
    <row r="65" ht="12.95" customHeight="1"/>
  </sheetData>
  <sheetProtection sheet="1" formatCells="0" formatColumns="0" formatRows="0" insertColumns="0" insertRows="0" insertHyperlinks="0" deleteColumns="0" deleteRows="0" sort="0" autoFilter="0" pivotTables="0"/>
  <autoFilter ref="B9:J58" xr:uid="{0791C900-15D5-48D9-8FCB-ED7387820D44}"/>
  <mergeCells count="8">
    <mergeCell ref="C17:D17"/>
    <mergeCell ref="C25:D25"/>
    <mergeCell ref="C33:D33"/>
    <mergeCell ref="C10:D10"/>
    <mergeCell ref="H3:I3"/>
    <mergeCell ref="H4:I4"/>
    <mergeCell ref="H5:I5"/>
    <mergeCell ref="E3:G4"/>
  </mergeCells>
  <conditionalFormatting sqref="J64">
    <cfRule type="expression" dxfId="9" priority="1">
      <formula>$J$64&gt;0.04</formula>
    </cfRule>
  </conditionalFormatting>
  <conditionalFormatting sqref="L64">
    <cfRule type="expression" dxfId="8" priority="2">
      <formula>$J$64&gt;0.04</formula>
    </cfRule>
  </conditionalFormatting>
  <pageMargins left="0.7" right="0.7" top="0.75" bottom="0.75" header="0.3" footer="0.3"/>
  <pageSetup scale="6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27A02-8F2F-485A-9821-E375F29CF7EA}">
  <sheetPr codeName="Sheet15">
    <pageSetUpPr fitToPage="1"/>
  </sheetPr>
  <dimension ref="B2:M84"/>
  <sheetViews>
    <sheetView showGridLines="0" zoomScale="85" zoomScaleNormal="85" workbookViewId="0">
      <pane ySplit="9" topLeftCell="A10" activePane="bottomLeft" state="frozen"/>
      <selection activeCell="M6" sqref="M6"/>
      <selection pane="bottomLeft" activeCell="M6" sqref="M6"/>
    </sheetView>
  </sheetViews>
  <sheetFormatPr defaultColWidth="11" defaultRowHeight="13.5"/>
  <cols>
    <col min="1" max="1" width="8.7109375" style="7" customWidth="1"/>
    <col min="2" max="2" width="1.85546875" style="7" customWidth="1"/>
    <col min="3" max="3" width="15.42578125" style="7" customWidth="1"/>
    <col min="4" max="4" width="42.85546875" style="7" customWidth="1"/>
    <col min="5" max="5" width="21.140625" style="7" customWidth="1"/>
    <col min="6" max="6" width="15.140625" style="7" bestFit="1" customWidth="1"/>
    <col min="7" max="7" width="10.42578125" style="7" customWidth="1"/>
    <col min="8" max="8" width="15.7109375" style="7" customWidth="1"/>
    <col min="9" max="9" width="15.28515625" style="7" customWidth="1"/>
    <col min="10" max="10" width="15.28515625" style="7" bestFit="1" customWidth="1"/>
    <col min="11" max="11" width="1.85546875" style="7" customWidth="1"/>
    <col min="12" max="12" width="11.140625" style="7" customWidth="1"/>
    <col min="13" max="13" width="23.140625" style="7" bestFit="1" customWidth="1"/>
    <col min="14" max="14" width="11" style="7" customWidth="1"/>
    <col min="15" max="16384" width="11" style="7"/>
  </cols>
  <sheetData>
    <row r="2" spans="2:13" ht="15" customHeight="1" thickBot="1">
      <c r="C2" s="121" t="str">
        <f>'STEP 2 - GCs'!C2</f>
        <v>E26-123.0</v>
      </c>
      <c r="D2" s="3"/>
      <c r="E2" s="3"/>
      <c r="F2" s="3"/>
      <c r="G2" s="3"/>
      <c r="H2" s="3"/>
      <c r="I2" s="122" t="str">
        <f>'STEP 4 - ESTIMATE'!I2</f>
        <v>Bid Due Date</v>
      </c>
      <c r="J2" s="123">
        <f>'STEP 4 - ESTIMATE'!K2</f>
        <v>46010</v>
      </c>
      <c r="M2" s="438" t="s">
        <v>207</v>
      </c>
    </row>
    <row r="3" spans="2:13" ht="18.75">
      <c r="B3" s="8"/>
      <c r="C3" s="124" t="str">
        <f>'STEP 2 - GCs'!C3</f>
        <v>Project Name</v>
      </c>
      <c r="D3" s="125" t="str">
        <f>'STEP 2 - GCs'!D3</f>
        <v>Name</v>
      </c>
      <c r="E3" s="445" t="s">
        <v>301</v>
      </c>
      <c r="F3" s="445"/>
      <c r="G3" s="445"/>
      <c r="H3" s="446" t="str">
        <f>'STEP 1 - PROJECT DATA'!C10</f>
        <v>Expected Start</v>
      </c>
      <c r="I3" s="446"/>
      <c r="J3" s="126">
        <f>'STEP 4 - ESTIMATE'!K3</f>
        <v>46174</v>
      </c>
      <c r="K3" s="11"/>
      <c r="M3" s="439" t="s">
        <v>208</v>
      </c>
    </row>
    <row r="4" spans="2:13" ht="16.5">
      <c r="B4" s="12"/>
      <c r="C4" s="121" t="str">
        <f>'STEP 2 - GCs'!C4</f>
        <v>Location</v>
      </c>
      <c r="D4" s="3" t="str">
        <f>'STEP 2 - GCs'!D4</f>
        <v>1234 Main St</v>
      </c>
      <c r="E4" s="3"/>
      <c r="F4" s="121"/>
      <c r="G4" s="3"/>
      <c r="H4" s="447" t="str">
        <f>'STEP 1 - PROJECT DATA'!C11</f>
        <v>Expected Finish</v>
      </c>
      <c r="I4" s="447"/>
      <c r="J4" s="127">
        <f>'STEP 4 - ESTIMATE'!K4</f>
        <v>46235</v>
      </c>
      <c r="K4" s="13"/>
      <c r="M4" s="440" t="s">
        <v>210</v>
      </c>
    </row>
    <row r="5" spans="2:13" ht="16.5">
      <c r="B5" s="12"/>
      <c r="C5" s="121"/>
      <c r="D5" s="3" t="str">
        <f>'STEP 2 - GCs'!D5</f>
        <v>Minneapolis, MN</v>
      </c>
      <c r="E5" s="3"/>
      <c r="F5" s="3"/>
      <c r="G5" s="3"/>
      <c r="H5" s="447" t="s">
        <v>18</v>
      </c>
      <c r="I5" s="447"/>
      <c r="J5" s="130">
        <f>'STEP 1 - PROJECT DATA'!D28</f>
        <v>2</v>
      </c>
      <c r="K5" s="13"/>
    </row>
    <row r="6" spans="2:13" ht="17.25" thickBot="1">
      <c r="B6" s="12"/>
      <c r="C6" s="121" t="str">
        <f>'STEP 2 - GCs'!C6</f>
        <v>Architect</v>
      </c>
      <c r="D6" s="3" t="str">
        <f>'STEP 2 - GCs'!D6</f>
        <v>TBD</v>
      </c>
      <c r="E6" s="3"/>
      <c r="F6" s="3"/>
      <c r="G6" s="3"/>
      <c r="H6" s="3"/>
      <c r="I6" s="121"/>
      <c r="J6" s="3"/>
      <c r="K6" s="13"/>
    </row>
    <row r="7" spans="2:13" ht="16.5">
      <c r="B7" s="12"/>
      <c r="C7" s="121" t="str">
        <f>'STEP 2 - GCs'!C7</f>
        <v>Plan Set</v>
      </c>
      <c r="D7" s="3" t="str">
        <f>'STEP 2 - GCs'!D7</f>
        <v>TBD</v>
      </c>
      <c r="E7" s="3"/>
      <c r="F7" s="3"/>
      <c r="G7" s="3"/>
      <c r="H7" s="3"/>
      <c r="I7" s="3"/>
      <c r="J7" s="131" t="s">
        <v>211</v>
      </c>
      <c r="K7" s="13"/>
    </row>
    <row r="8" spans="2:13" ht="17.25" thickBot="1">
      <c r="B8" s="12"/>
      <c r="C8" s="3"/>
      <c r="D8" s="3"/>
      <c r="E8" s="3"/>
      <c r="F8" s="3"/>
      <c r="G8" s="3"/>
      <c r="H8" s="3"/>
      <c r="I8" s="3"/>
      <c r="J8" s="132">
        <f>'STEP 4 - ESTIMATE'!K8</f>
        <v>10</v>
      </c>
      <c r="K8" s="13"/>
    </row>
    <row r="9" spans="2:13" ht="17.25" thickBot="1">
      <c r="B9" s="12"/>
      <c r="C9" s="175" t="s">
        <v>212</v>
      </c>
      <c r="D9" s="176" t="s">
        <v>91</v>
      </c>
      <c r="E9" s="176"/>
      <c r="F9" s="176" t="s">
        <v>149</v>
      </c>
      <c r="G9" s="176" t="s">
        <v>150</v>
      </c>
      <c r="H9" s="176" t="s">
        <v>214</v>
      </c>
      <c r="I9" s="176" t="s">
        <v>178</v>
      </c>
      <c r="J9" s="187" t="s">
        <v>215</v>
      </c>
      <c r="K9" s="52"/>
    </row>
    <row r="10" spans="2:13" ht="17.25">
      <c r="B10" s="12"/>
      <c r="C10" s="443" t="s">
        <v>302</v>
      </c>
      <c r="D10" s="444" t="s">
        <v>217</v>
      </c>
      <c r="E10" s="318">
        <f>SUM(I11:I28)</f>
        <v>2.5</v>
      </c>
      <c r="F10" s="178"/>
      <c r="G10" s="180"/>
      <c r="H10" s="180"/>
      <c r="I10" s="191"/>
      <c r="J10" s="192"/>
      <c r="K10" s="13"/>
    </row>
    <row r="11" spans="2:13" ht="14.1" customHeight="1">
      <c r="B11" s="12"/>
      <c r="C11" s="53"/>
      <c r="D11" s="54"/>
      <c r="E11" s="54"/>
      <c r="F11" s="169"/>
      <c r="G11" s="56"/>
      <c r="H11" s="172"/>
      <c r="I11" s="136"/>
      <c r="J11" s="139"/>
      <c r="K11" s="13"/>
    </row>
    <row r="12" spans="2:13">
      <c r="B12" s="12"/>
      <c r="C12" s="53" t="s">
        <v>303</v>
      </c>
      <c r="D12" s="54" t="s">
        <v>304</v>
      </c>
      <c r="E12" s="54"/>
      <c r="F12" s="169">
        <v>0</v>
      </c>
      <c r="G12" s="56" t="s">
        <v>229</v>
      </c>
      <c r="H12" s="172">
        <v>0</v>
      </c>
      <c r="I12" s="136">
        <f t="shared" ref="I12" si="0">F12*H12</f>
        <v>0</v>
      </c>
      <c r="J12" s="139">
        <f t="shared" ref="J12" si="1">IF($J$8=0, 0, I12/$J$8)</f>
        <v>0</v>
      </c>
      <c r="K12" s="13"/>
    </row>
    <row r="13" spans="2:13" ht="14.1" customHeight="1">
      <c r="B13" s="12"/>
      <c r="C13" s="53" t="s">
        <v>305</v>
      </c>
      <c r="D13" s="54" t="s">
        <v>306</v>
      </c>
      <c r="E13" s="54"/>
      <c r="F13" s="169">
        <v>0</v>
      </c>
      <c r="G13" s="56" t="s">
        <v>229</v>
      </c>
      <c r="H13" s="172">
        <v>0</v>
      </c>
      <c r="I13" s="136">
        <f t="shared" ref="I13" si="2">F13*H13</f>
        <v>0</v>
      </c>
      <c r="J13" s="139">
        <f t="shared" ref="J13:J27" si="3">IF($J$8=0, 0, I13/$J$8)</f>
        <v>0</v>
      </c>
      <c r="K13" s="13"/>
    </row>
    <row r="14" spans="2:13" ht="14.1" customHeight="1">
      <c r="B14" s="12"/>
      <c r="C14" s="53" t="s">
        <v>307</v>
      </c>
      <c r="D14" s="54" t="s">
        <v>308</v>
      </c>
      <c r="E14" s="54"/>
      <c r="F14" s="169">
        <v>0</v>
      </c>
      <c r="G14" s="56" t="s">
        <v>229</v>
      </c>
      <c r="H14" s="172">
        <v>0</v>
      </c>
      <c r="I14" s="136">
        <f t="shared" ref="I14:I27" si="4">F14*H14</f>
        <v>0</v>
      </c>
      <c r="J14" s="139">
        <f t="shared" si="3"/>
        <v>0</v>
      </c>
      <c r="K14" s="13"/>
    </row>
    <row r="15" spans="2:13" ht="14.1" customHeight="1">
      <c r="B15" s="12"/>
      <c r="C15" s="53" t="s">
        <v>309</v>
      </c>
      <c r="D15" s="54" t="s">
        <v>310</v>
      </c>
      <c r="E15" s="55">
        <v>0</v>
      </c>
      <c r="F15" s="170">
        <f>$J$5*4.33*E15*40</f>
        <v>0</v>
      </c>
      <c r="G15" s="56" t="s">
        <v>220</v>
      </c>
      <c r="H15" s="172">
        <v>74</v>
      </c>
      <c r="I15" s="136">
        <f t="shared" si="4"/>
        <v>0</v>
      </c>
      <c r="J15" s="139">
        <f t="shared" si="3"/>
        <v>0</v>
      </c>
      <c r="K15" s="13"/>
    </row>
    <row r="16" spans="2:13" ht="14.1" customHeight="1">
      <c r="B16" s="12"/>
      <c r="C16" s="53" t="s">
        <v>309</v>
      </c>
      <c r="D16" s="54" t="s">
        <v>311</v>
      </c>
      <c r="E16" s="55">
        <v>0</v>
      </c>
      <c r="F16" s="170">
        <f>$J$5*4.33*E16*40</f>
        <v>0</v>
      </c>
      <c r="G16" s="56" t="s">
        <v>220</v>
      </c>
      <c r="H16" s="172">
        <v>54</v>
      </c>
      <c r="I16" s="136">
        <f t="shared" si="4"/>
        <v>0</v>
      </c>
      <c r="J16" s="139">
        <f t="shared" si="3"/>
        <v>0</v>
      </c>
      <c r="K16" s="13"/>
    </row>
    <row r="17" spans="2:11" ht="14.1" customHeight="1">
      <c r="B17" s="12"/>
      <c r="C17" s="53" t="s">
        <v>312</v>
      </c>
      <c r="D17" s="54" t="s">
        <v>313</v>
      </c>
      <c r="E17" s="54"/>
      <c r="F17" s="169">
        <v>0</v>
      </c>
      <c r="G17" s="56" t="s">
        <v>258</v>
      </c>
      <c r="H17" s="172">
        <v>500</v>
      </c>
      <c r="I17" s="136">
        <f t="shared" si="4"/>
        <v>0</v>
      </c>
      <c r="J17" s="139">
        <f t="shared" si="3"/>
        <v>0</v>
      </c>
      <c r="K17" s="13"/>
    </row>
    <row r="18" spans="2:11" ht="14.1" customHeight="1">
      <c r="B18" s="12"/>
      <c r="C18" s="53" t="s">
        <v>314</v>
      </c>
      <c r="D18" s="54" t="s">
        <v>315</v>
      </c>
      <c r="E18" s="54"/>
      <c r="F18" s="170">
        <f>J8</f>
        <v>10</v>
      </c>
      <c r="G18" s="56" t="s">
        <v>146</v>
      </c>
      <c r="H18" s="172">
        <v>0.25</v>
      </c>
      <c r="I18" s="136">
        <f t="shared" si="4"/>
        <v>2.5</v>
      </c>
      <c r="J18" s="139">
        <f t="shared" si="3"/>
        <v>0.25</v>
      </c>
      <c r="K18" s="13"/>
    </row>
    <row r="19" spans="2:11" ht="14.1" customHeight="1">
      <c r="B19" s="12"/>
      <c r="C19" s="53" t="s">
        <v>316</v>
      </c>
      <c r="D19" s="54" t="s">
        <v>317</v>
      </c>
      <c r="E19" s="54"/>
      <c r="F19" s="169">
        <v>0</v>
      </c>
      <c r="G19" s="56" t="s">
        <v>144</v>
      </c>
      <c r="H19" s="172">
        <v>5000</v>
      </c>
      <c r="I19" s="136">
        <f t="shared" si="4"/>
        <v>0</v>
      </c>
      <c r="J19" s="139">
        <f t="shared" si="3"/>
        <v>0</v>
      </c>
      <c r="K19" s="13"/>
    </row>
    <row r="20" spans="2:11" ht="14.1" customHeight="1">
      <c r="B20" s="12"/>
      <c r="C20" s="53" t="s">
        <v>318</v>
      </c>
      <c r="D20" s="54" t="s">
        <v>319</v>
      </c>
      <c r="E20" s="54"/>
      <c r="F20" s="169">
        <v>0</v>
      </c>
      <c r="G20" s="56" t="s">
        <v>141</v>
      </c>
      <c r="H20" s="172">
        <v>25</v>
      </c>
      <c r="I20" s="136">
        <f t="shared" si="4"/>
        <v>0</v>
      </c>
      <c r="J20" s="139">
        <f t="shared" si="3"/>
        <v>0</v>
      </c>
      <c r="K20" s="13"/>
    </row>
    <row r="21" spans="2:11" ht="14.1" customHeight="1">
      <c r="B21" s="12"/>
      <c r="C21" s="53" t="s">
        <v>320</v>
      </c>
      <c r="D21" s="54" t="s">
        <v>321</v>
      </c>
      <c r="E21" s="54"/>
      <c r="F21" s="169">
        <v>0</v>
      </c>
      <c r="G21" s="56" t="s">
        <v>141</v>
      </c>
      <c r="H21" s="172">
        <v>15</v>
      </c>
      <c r="I21" s="136">
        <f t="shared" si="4"/>
        <v>0</v>
      </c>
      <c r="J21" s="139">
        <f t="shared" si="3"/>
        <v>0</v>
      </c>
      <c r="K21" s="13"/>
    </row>
    <row r="22" spans="2:11" ht="14.1" customHeight="1">
      <c r="B22" s="12"/>
      <c r="C22" s="53" t="s">
        <v>322</v>
      </c>
      <c r="D22" s="54" t="s">
        <v>323</v>
      </c>
      <c r="E22" s="54"/>
      <c r="F22" s="169">
        <v>0</v>
      </c>
      <c r="G22" s="56" t="s">
        <v>141</v>
      </c>
      <c r="H22" s="172">
        <v>20</v>
      </c>
      <c r="I22" s="136">
        <f t="shared" si="4"/>
        <v>0</v>
      </c>
      <c r="J22" s="139">
        <f t="shared" si="3"/>
        <v>0</v>
      </c>
      <c r="K22" s="13"/>
    </row>
    <row r="23" spans="2:11" ht="14.1" customHeight="1">
      <c r="B23" s="12"/>
      <c r="C23" s="53" t="s">
        <v>324</v>
      </c>
      <c r="D23" s="54" t="s">
        <v>325</v>
      </c>
      <c r="E23" s="54"/>
      <c r="F23" s="169">
        <v>0</v>
      </c>
      <c r="G23" s="56" t="s">
        <v>229</v>
      </c>
      <c r="H23" s="172">
        <v>5000</v>
      </c>
      <c r="I23" s="136">
        <f t="shared" si="4"/>
        <v>0</v>
      </c>
      <c r="J23" s="139">
        <f t="shared" si="3"/>
        <v>0</v>
      </c>
      <c r="K23" s="13"/>
    </row>
    <row r="24" spans="2:11" ht="14.1" customHeight="1">
      <c r="B24" s="12"/>
      <c r="C24" s="53" t="s">
        <v>326</v>
      </c>
      <c r="D24" s="54" t="s">
        <v>327</v>
      </c>
      <c r="E24" s="54"/>
      <c r="F24" s="169">
        <v>0</v>
      </c>
      <c r="G24" s="56" t="s">
        <v>258</v>
      </c>
      <c r="H24" s="172">
        <v>2000</v>
      </c>
      <c r="I24" s="136">
        <f t="shared" si="4"/>
        <v>0</v>
      </c>
      <c r="J24" s="139">
        <f t="shared" si="3"/>
        <v>0</v>
      </c>
      <c r="K24" s="13"/>
    </row>
    <row r="25" spans="2:11" ht="14.1" customHeight="1">
      <c r="B25" s="12"/>
      <c r="C25" s="53" t="s">
        <v>328</v>
      </c>
      <c r="D25" s="54" t="s">
        <v>329</v>
      </c>
      <c r="E25" s="54"/>
      <c r="F25" s="169">
        <v>0</v>
      </c>
      <c r="G25" s="56" t="s">
        <v>258</v>
      </c>
      <c r="H25" s="172">
        <v>1000</v>
      </c>
      <c r="I25" s="136">
        <f t="shared" si="4"/>
        <v>0</v>
      </c>
      <c r="J25" s="139">
        <f t="shared" si="3"/>
        <v>0</v>
      </c>
      <c r="K25" s="13"/>
    </row>
    <row r="26" spans="2:11" ht="14.1" customHeight="1">
      <c r="B26" s="12"/>
      <c r="C26" s="53" t="s">
        <v>330</v>
      </c>
      <c r="D26" s="54" t="s">
        <v>331</v>
      </c>
      <c r="E26" s="54"/>
      <c r="F26" s="169">
        <v>0</v>
      </c>
      <c r="G26" s="56" t="s">
        <v>258</v>
      </c>
      <c r="H26" s="172">
        <v>1000</v>
      </c>
      <c r="I26" s="136">
        <f t="shared" si="4"/>
        <v>0</v>
      </c>
      <c r="J26" s="139">
        <f t="shared" si="3"/>
        <v>0</v>
      </c>
      <c r="K26" s="13"/>
    </row>
    <row r="27" spans="2:11" ht="14.1" customHeight="1">
      <c r="B27" s="12"/>
      <c r="C27" s="53" t="s">
        <v>332</v>
      </c>
      <c r="D27" s="54" t="s">
        <v>333</v>
      </c>
      <c r="E27" s="54"/>
      <c r="F27" s="169">
        <v>0</v>
      </c>
      <c r="G27" s="56" t="s">
        <v>144</v>
      </c>
      <c r="H27" s="172">
        <v>0</v>
      </c>
      <c r="I27" s="136">
        <f t="shared" si="4"/>
        <v>0</v>
      </c>
      <c r="J27" s="139">
        <f t="shared" si="3"/>
        <v>0</v>
      </c>
      <c r="K27" s="13"/>
    </row>
    <row r="28" spans="2:11" ht="14.1" customHeight="1">
      <c r="B28" s="12"/>
      <c r="C28" s="53"/>
      <c r="D28" s="54"/>
      <c r="E28" s="54"/>
      <c r="F28" s="169"/>
      <c r="G28" s="56"/>
      <c r="H28" s="172"/>
      <c r="I28" s="136"/>
      <c r="J28" s="139"/>
      <c r="K28" s="13"/>
    </row>
    <row r="29" spans="2:11" ht="19.5" thickBot="1">
      <c r="B29" s="12"/>
      <c r="C29" s="59"/>
      <c r="D29" s="60"/>
      <c r="E29" s="60"/>
      <c r="F29" s="61"/>
      <c r="G29" s="62"/>
      <c r="H29" s="63" t="s">
        <v>334</v>
      </c>
      <c r="I29" s="140">
        <f>SUM(I11:I28)</f>
        <v>2.5</v>
      </c>
      <c r="J29" s="141">
        <f>IF($J$8=0, 0, I29/$J$8)</f>
        <v>0.25</v>
      </c>
      <c r="K29" s="66"/>
    </row>
    <row r="30" spans="2:11" ht="17.25">
      <c r="B30" s="12"/>
      <c r="C30" s="443" t="s">
        <v>335</v>
      </c>
      <c r="D30" s="444" t="s">
        <v>217</v>
      </c>
      <c r="E30" s="318">
        <f>SUM(I31:I34)</f>
        <v>0</v>
      </c>
      <c r="F30" s="178"/>
      <c r="G30" s="180"/>
      <c r="H30" s="180"/>
      <c r="I30" s="181"/>
      <c r="J30" s="182"/>
      <c r="K30" s="13"/>
    </row>
    <row r="31" spans="2:11" ht="14.1" customHeight="1">
      <c r="B31" s="12"/>
      <c r="C31" s="53"/>
      <c r="D31" s="54"/>
      <c r="E31" s="54"/>
      <c r="F31" s="169"/>
      <c r="G31" s="56"/>
      <c r="H31" s="172"/>
      <c r="I31" s="136"/>
      <c r="J31" s="139"/>
      <c r="K31" s="13"/>
    </row>
    <row r="32" spans="2:11" ht="14.1" customHeight="1">
      <c r="B32" s="12"/>
      <c r="C32" s="53" t="s">
        <v>336</v>
      </c>
      <c r="D32" s="54" t="s">
        <v>337</v>
      </c>
      <c r="E32" s="54"/>
      <c r="F32" s="169">
        <v>0</v>
      </c>
      <c r="G32" s="56" t="s">
        <v>146</v>
      </c>
      <c r="H32" s="172">
        <v>6</v>
      </c>
      <c r="I32" s="136">
        <f>F32*H32</f>
        <v>0</v>
      </c>
      <c r="J32" s="139">
        <f>IF($J$8=0, 0, I32/$J$8)</f>
        <v>0</v>
      </c>
      <c r="K32" s="13"/>
    </row>
    <row r="33" spans="2:11" ht="14.1" customHeight="1">
      <c r="B33" s="12"/>
      <c r="C33" s="53" t="s">
        <v>336</v>
      </c>
      <c r="D33" s="54" t="s">
        <v>338</v>
      </c>
      <c r="E33" s="54"/>
      <c r="F33" s="169">
        <v>0</v>
      </c>
      <c r="G33" s="56" t="s">
        <v>229</v>
      </c>
      <c r="H33" s="172">
        <v>0</v>
      </c>
      <c r="I33" s="136">
        <f>F33*H33</f>
        <v>0</v>
      </c>
      <c r="J33" s="139">
        <f>IF($J$8=0, 0, I33/$J$8)</f>
        <v>0</v>
      </c>
      <c r="K33" s="13"/>
    </row>
    <row r="34" spans="2:11" ht="14.1" customHeight="1">
      <c r="B34" s="12"/>
      <c r="C34" s="53"/>
      <c r="D34" s="54"/>
      <c r="E34" s="54"/>
      <c r="F34" s="169"/>
      <c r="G34" s="56"/>
      <c r="H34" s="172"/>
      <c r="I34" s="136"/>
      <c r="J34" s="139"/>
      <c r="K34" s="13"/>
    </row>
    <row r="35" spans="2:11" ht="19.5" thickBot="1">
      <c r="B35" s="12"/>
      <c r="C35" s="59"/>
      <c r="D35" s="60"/>
      <c r="E35" s="60"/>
      <c r="F35" s="61"/>
      <c r="G35" s="62"/>
      <c r="H35" s="63" t="s">
        <v>339</v>
      </c>
      <c r="I35" s="140">
        <f>SUM(I31:I34)</f>
        <v>0</v>
      </c>
      <c r="J35" s="141">
        <f>IF($J$8=0, 0, I35/$J$8)</f>
        <v>0</v>
      </c>
      <c r="K35" s="66"/>
    </row>
    <row r="36" spans="2:11" ht="17.25">
      <c r="B36" s="12"/>
      <c r="C36" s="443" t="s">
        <v>340</v>
      </c>
      <c r="D36" s="444" t="s">
        <v>217</v>
      </c>
      <c r="E36" s="318">
        <f>SUM(I37:I39)</f>
        <v>0</v>
      </c>
      <c r="F36" s="178"/>
      <c r="G36" s="180"/>
      <c r="H36" s="180"/>
      <c r="I36" s="181"/>
      <c r="J36" s="182"/>
      <c r="K36" s="13"/>
    </row>
    <row r="37" spans="2:11" ht="14.1" customHeight="1">
      <c r="B37" s="12"/>
      <c r="C37" s="53"/>
      <c r="D37" s="54"/>
      <c r="E37" s="54"/>
      <c r="F37" s="169"/>
      <c r="G37" s="56"/>
      <c r="H37" s="172"/>
      <c r="I37" s="136"/>
      <c r="J37" s="139"/>
      <c r="K37" s="13"/>
    </row>
    <row r="38" spans="2:11" ht="14.1" customHeight="1">
      <c r="B38" s="12"/>
      <c r="C38" s="53" t="s">
        <v>341</v>
      </c>
      <c r="D38" s="54" t="s">
        <v>342</v>
      </c>
      <c r="E38" s="54"/>
      <c r="F38" s="169">
        <v>0</v>
      </c>
      <c r="G38" s="56" t="s">
        <v>144</v>
      </c>
      <c r="H38" s="172">
        <v>2500</v>
      </c>
      <c r="I38" s="136">
        <f t="shared" ref="I38:I80" si="5">F38*H38</f>
        <v>0</v>
      </c>
      <c r="J38" s="139">
        <f t="shared" ref="J38:J80" si="6">IF($J$8=0, 0, I38/$J$8)</f>
        <v>0</v>
      </c>
      <c r="K38" s="13"/>
    </row>
    <row r="39" spans="2:11" ht="14.1" customHeight="1">
      <c r="B39" s="12"/>
      <c r="C39" s="53"/>
      <c r="D39" s="54"/>
      <c r="E39" s="54"/>
      <c r="F39" s="169"/>
      <c r="G39" s="56"/>
      <c r="H39" s="172"/>
      <c r="I39" s="136"/>
      <c r="J39" s="139"/>
      <c r="K39" s="13"/>
    </row>
    <row r="40" spans="2:11" ht="19.5" thickBot="1">
      <c r="B40" s="12"/>
      <c r="C40" s="59"/>
      <c r="D40" s="60"/>
      <c r="E40" s="60"/>
      <c r="F40" s="61"/>
      <c r="G40" s="62"/>
      <c r="H40" s="63" t="s">
        <v>343</v>
      </c>
      <c r="I40" s="140">
        <f>SUM(I37:I39)</f>
        <v>0</v>
      </c>
      <c r="J40" s="141">
        <f>IF($J$8=0, 0, I40/$J$8)</f>
        <v>0</v>
      </c>
      <c r="K40" s="66"/>
    </row>
    <row r="41" spans="2:11" ht="17.25">
      <c r="B41" s="12"/>
      <c r="C41" s="443" t="s">
        <v>344</v>
      </c>
      <c r="D41" s="444" t="s">
        <v>217</v>
      </c>
      <c r="E41" s="318">
        <f>SUM(I42:I44)</f>
        <v>0</v>
      </c>
      <c r="F41" s="178"/>
      <c r="G41" s="180"/>
      <c r="H41" s="180"/>
      <c r="I41" s="181"/>
      <c r="J41" s="182"/>
      <c r="K41" s="13"/>
    </row>
    <row r="42" spans="2:11" ht="14.1" customHeight="1">
      <c r="B42" s="12"/>
      <c r="C42" s="53"/>
      <c r="D42" s="54"/>
      <c r="E42" s="54"/>
      <c r="F42" s="169"/>
      <c r="G42" s="56"/>
      <c r="H42" s="172"/>
      <c r="I42" s="136"/>
      <c r="J42" s="139"/>
      <c r="K42" s="13"/>
    </row>
    <row r="43" spans="2:11" ht="14.1" customHeight="1">
      <c r="B43" s="12"/>
      <c r="C43" s="53" t="s">
        <v>345</v>
      </c>
      <c r="D43" s="54" t="s">
        <v>346</v>
      </c>
      <c r="E43" s="54"/>
      <c r="F43" s="169">
        <v>0</v>
      </c>
      <c r="G43" s="56" t="s">
        <v>144</v>
      </c>
      <c r="H43" s="172">
        <v>400</v>
      </c>
      <c r="I43" s="136">
        <f t="shared" si="5"/>
        <v>0</v>
      </c>
      <c r="J43" s="139">
        <f t="shared" si="6"/>
        <v>0</v>
      </c>
      <c r="K43" s="13"/>
    </row>
    <row r="44" spans="2:11" ht="14.1" customHeight="1">
      <c r="B44" s="12"/>
      <c r="C44" s="53"/>
      <c r="D44" s="54"/>
      <c r="E44" s="54"/>
      <c r="F44" s="169"/>
      <c r="G44" s="56"/>
      <c r="H44" s="172"/>
      <c r="I44" s="136"/>
      <c r="J44" s="139"/>
      <c r="K44" s="13"/>
    </row>
    <row r="45" spans="2:11" ht="19.5" thickBot="1">
      <c r="B45" s="12"/>
      <c r="C45" s="59"/>
      <c r="D45" s="60"/>
      <c r="E45" s="60"/>
      <c r="F45" s="61"/>
      <c r="G45" s="62"/>
      <c r="H45" s="63" t="s">
        <v>347</v>
      </c>
      <c r="I45" s="140">
        <f>SUM(I42:I44)</f>
        <v>0</v>
      </c>
      <c r="J45" s="141">
        <f>IF($J$8=0, 0, I45/$J$8)</f>
        <v>0</v>
      </c>
      <c r="K45" s="66"/>
    </row>
    <row r="46" spans="2:11" ht="17.25">
      <c r="B46" s="12"/>
      <c r="C46" s="443" t="s">
        <v>348</v>
      </c>
      <c r="D46" s="444" t="s">
        <v>217</v>
      </c>
      <c r="E46" s="318">
        <f>SUM(I47:I50)</f>
        <v>0</v>
      </c>
      <c r="F46" s="178"/>
      <c r="G46" s="180"/>
      <c r="H46" s="180"/>
      <c r="I46" s="181"/>
      <c r="J46" s="182"/>
      <c r="K46" s="13"/>
    </row>
    <row r="47" spans="2:11" ht="14.1" customHeight="1">
      <c r="B47" s="12"/>
      <c r="C47" s="53"/>
      <c r="D47" s="54"/>
      <c r="E47" s="54"/>
      <c r="F47" s="169"/>
      <c r="G47" s="56"/>
      <c r="H47" s="172"/>
      <c r="I47" s="136"/>
      <c r="J47" s="139"/>
      <c r="K47" s="13"/>
    </row>
    <row r="48" spans="2:11" ht="14.1" customHeight="1">
      <c r="B48" s="12"/>
      <c r="C48" s="53" t="s">
        <v>349</v>
      </c>
      <c r="D48" s="54" t="s">
        <v>350</v>
      </c>
      <c r="E48" s="54"/>
      <c r="F48" s="169">
        <v>0</v>
      </c>
      <c r="G48" s="56" t="s">
        <v>229</v>
      </c>
      <c r="H48" s="172">
        <v>0</v>
      </c>
      <c r="I48" s="136">
        <f t="shared" si="5"/>
        <v>0</v>
      </c>
      <c r="J48" s="139">
        <f t="shared" si="6"/>
        <v>0</v>
      </c>
      <c r="K48" s="13"/>
    </row>
    <row r="49" spans="2:11" ht="14.1" customHeight="1">
      <c r="B49" s="12"/>
      <c r="C49" s="53" t="s">
        <v>349</v>
      </c>
      <c r="D49" s="54" t="s">
        <v>351</v>
      </c>
      <c r="E49" s="54"/>
      <c r="F49" s="169">
        <v>0</v>
      </c>
      <c r="G49" s="56" t="s">
        <v>229</v>
      </c>
      <c r="H49" s="172">
        <v>0</v>
      </c>
      <c r="I49" s="136">
        <f t="shared" ref="I49" si="7">F49*H49</f>
        <v>0</v>
      </c>
      <c r="J49" s="139">
        <f t="shared" si="6"/>
        <v>0</v>
      </c>
      <c r="K49" s="13"/>
    </row>
    <row r="50" spans="2:11" ht="14.1" customHeight="1">
      <c r="B50" s="12"/>
      <c r="C50" s="53"/>
      <c r="D50" s="54"/>
      <c r="E50" s="54"/>
      <c r="F50" s="169"/>
      <c r="G50" s="56"/>
      <c r="H50" s="172"/>
      <c r="I50" s="136"/>
      <c r="J50" s="139"/>
      <c r="K50" s="13"/>
    </row>
    <row r="51" spans="2:11" ht="19.5" thickBot="1">
      <c r="B51" s="12"/>
      <c r="C51" s="59"/>
      <c r="D51" s="60"/>
      <c r="E51" s="60"/>
      <c r="F51" s="61"/>
      <c r="G51" s="62"/>
      <c r="H51" s="63" t="s">
        <v>352</v>
      </c>
      <c r="I51" s="140">
        <f>SUM(I47:I50)</f>
        <v>0</v>
      </c>
      <c r="J51" s="141">
        <f>IF($J$8=0, 0, I51/$J$8)</f>
        <v>0</v>
      </c>
      <c r="K51" s="66"/>
    </row>
    <row r="52" spans="2:11" ht="17.25">
      <c r="B52" s="12"/>
      <c r="C52" s="443" t="s">
        <v>353</v>
      </c>
      <c r="D52" s="444" t="s">
        <v>217</v>
      </c>
      <c r="E52" s="318">
        <f>SUM(I53:I61)</f>
        <v>0</v>
      </c>
      <c r="F52" s="178"/>
      <c r="G52" s="180"/>
      <c r="H52" s="180"/>
      <c r="I52" s="181"/>
      <c r="J52" s="182"/>
      <c r="K52" s="13"/>
    </row>
    <row r="53" spans="2:11" ht="14.1" customHeight="1">
      <c r="B53" s="12"/>
      <c r="C53" s="53"/>
      <c r="D53" s="54"/>
      <c r="E53" s="54"/>
      <c r="F53" s="169"/>
      <c r="G53" s="56"/>
      <c r="H53" s="172"/>
      <c r="I53" s="136"/>
      <c r="J53" s="139"/>
      <c r="K53" s="13"/>
    </row>
    <row r="54" spans="2:11" ht="14.1" customHeight="1">
      <c r="B54" s="12"/>
      <c r="C54" s="53" t="s">
        <v>354</v>
      </c>
      <c r="D54" s="54" t="s">
        <v>355</v>
      </c>
      <c r="E54" s="54"/>
      <c r="F54" s="169">
        <v>0</v>
      </c>
      <c r="G54" s="56" t="s">
        <v>229</v>
      </c>
      <c r="H54" s="172">
        <v>0</v>
      </c>
      <c r="I54" s="136">
        <f t="shared" si="5"/>
        <v>0</v>
      </c>
      <c r="J54" s="139">
        <f t="shared" si="6"/>
        <v>0</v>
      </c>
      <c r="K54" s="13"/>
    </row>
    <row r="55" spans="2:11" ht="14.1" customHeight="1">
      <c r="B55" s="12"/>
      <c r="C55" s="53" t="s">
        <v>356</v>
      </c>
      <c r="D55" s="54" t="s">
        <v>357</v>
      </c>
      <c r="E55" s="54"/>
      <c r="F55" s="169">
        <v>0</v>
      </c>
      <c r="G55" s="56" t="s">
        <v>144</v>
      </c>
      <c r="H55" s="172">
        <v>650</v>
      </c>
      <c r="I55" s="136">
        <f t="shared" si="5"/>
        <v>0</v>
      </c>
      <c r="J55" s="139">
        <f t="shared" si="6"/>
        <v>0</v>
      </c>
      <c r="K55" s="13"/>
    </row>
    <row r="56" spans="2:11" ht="14.1" customHeight="1">
      <c r="B56" s="12"/>
      <c r="C56" s="53" t="s">
        <v>358</v>
      </c>
      <c r="D56" s="54" t="s">
        <v>359</v>
      </c>
      <c r="E56" s="54"/>
      <c r="F56" s="169">
        <v>0</v>
      </c>
      <c r="G56" s="56" t="s">
        <v>229</v>
      </c>
      <c r="H56" s="172">
        <v>0</v>
      </c>
      <c r="I56" s="136">
        <f t="shared" si="5"/>
        <v>0</v>
      </c>
      <c r="J56" s="139">
        <f t="shared" si="6"/>
        <v>0</v>
      </c>
      <c r="K56" s="13"/>
    </row>
    <row r="57" spans="2:11" ht="14.1" customHeight="1">
      <c r="B57" s="12"/>
      <c r="C57" s="53" t="s">
        <v>360</v>
      </c>
      <c r="D57" s="54" t="s">
        <v>361</v>
      </c>
      <c r="E57" s="54"/>
      <c r="F57" s="169">
        <v>0</v>
      </c>
      <c r="G57" s="56" t="s">
        <v>229</v>
      </c>
      <c r="H57" s="172">
        <v>0</v>
      </c>
      <c r="I57" s="136">
        <f t="shared" si="5"/>
        <v>0</v>
      </c>
      <c r="J57" s="139">
        <f t="shared" si="6"/>
        <v>0</v>
      </c>
      <c r="K57" s="13"/>
    </row>
    <row r="58" spans="2:11" ht="14.1" customHeight="1">
      <c r="B58" s="12"/>
      <c r="C58" s="53" t="s">
        <v>362</v>
      </c>
      <c r="D58" s="54" t="s">
        <v>363</v>
      </c>
      <c r="E58" s="54"/>
      <c r="F58" s="169">
        <v>0</v>
      </c>
      <c r="G58" s="56" t="s">
        <v>229</v>
      </c>
      <c r="H58" s="172">
        <v>0</v>
      </c>
      <c r="I58" s="136">
        <f t="shared" si="5"/>
        <v>0</v>
      </c>
      <c r="J58" s="139">
        <f t="shared" si="6"/>
        <v>0</v>
      </c>
      <c r="K58" s="13"/>
    </row>
    <row r="59" spans="2:11" ht="14.1" customHeight="1">
      <c r="B59" s="12"/>
      <c r="C59" s="53" t="s">
        <v>364</v>
      </c>
      <c r="D59" s="54" t="s">
        <v>365</v>
      </c>
      <c r="E59" s="54"/>
      <c r="F59" s="169">
        <v>0</v>
      </c>
      <c r="G59" s="56" t="s">
        <v>229</v>
      </c>
      <c r="H59" s="172">
        <v>0</v>
      </c>
      <c r="I59" s="136">
        <f t="shared" si="5"/>
        <v>0</v>
      </c>
      <c r="J59" s="139">
        <f t="shared" si="6"/>
        <v>0</v>
      </c>
      <c r="K59" s="13"/>
    </row>
    <row r="60" spans="2:11" ht="14.1" customHeight="1">
      <c r="B60" s="12"/>
      <c r="C60" s="53" t="s">
        <v>366</v>
      </c>
      <c r="D60" s="54" t="s">
        <v>367</v>
      </c>
      <c r="E60" s="54"/>
      <c r="F60" s="169">
        <v>0</v>
      </c>
      <c r="G60" s="56" t="s">
        <v>229</v>
      </c>
      <c r="H60" s="172">
        <v>0</v>
      </c>
      <c r="I60" s="136">
        <f t="shared" si="5"/>
        <v>0</v>
      </c>
      <c r="J60" s="139">
        <f t="shared" si="6"/>
        <v>0</v>
      </c>
      <c r="K60" s="13"/>
    </row>
    <row r="61" spans="2:11" ht="14.1" customHeight="1">
      <c r="B61" s="12"/>
      <c r="C61" s="53"/>
      <c r="D61" s="54"/>
      <c r="E61" s="54"/>
      <c r="F61" s="169"/>
      <c r="G61" s="56"/>
      <c r="H61" s="172"/>
      <c r="I61" s="136"/>
      <c r="J61" s="139"/>
      <c r="K61" s="13"/>
    </row>
    <row r="62" spans="2:11" ht="19.5" thickBot="1">
      <c r="B62" s="12"/>
      <c r="C62" s="59"/>
      <c r="D62" s="60"/>
      <c r="E62" s="60"/>
      <c r="F62" s="61"/>
      <c r="G62" s="62"/>
      <c r="H62" s="63" t="s">
        <v>368</v>
      </c>
      <c r="I62" s="140">
        <f>SUM(I53:I61)</f>
        <v>0</v>
      </c>
      <c r="J62" s="141">
        <f>IF($J$8=0, 0, I62/$J$8)</f>
        <v>0</v>
      </c>
      <c r="K62" s="66"/>
    </row>
    <row r="63" spans="2:11" ht="17.25">
      <c r="B63" s="12"/>
      <c r="C63" s="443" t="s">
        <v>369</v>
      </c>
      <c r="D63" s="444" t="s">
        <v>217</v>
      </c>
      <c r="E63" s="318">
        <f>SUM(I64:I71)</f>
        <v>0</v>
      </c>
      <c r="F63" s="178"/>
      <c r="G63" s="180"/>
      <c r="H63" s="180"/>
      <c r="I63" s="181"/>
      <c r="J63" s="182"/>
      <c r="K63" s="13"/>
    </row>
    <row r="64" spans="2:11" ht="14.1" customHeight="1">
      <c r="B64" s="12"/>
      <c r="C64" s="53"/>
      <c r="D64" s="54"/>
      <c r="E64" s="54"/>
      <c r="F64" s="169"/>
      <c r="G64" s="56"/>
      <c r="H64" s="172"/>
      <c r="I64" s="136"/>
      <c r="J64" s="139"/>
      <c r="K64" s="13"/>
    </row>
    <row r="65" spans="2:11">
      <c r="B65" s="12"/>
      <c r="C65" s="53" t="s">
        <v>370</v>
      </c>
      <c r="D65" s="54" t="s">
        <v>371</v>
      </c>
      <c r="E65" s="54"/>
      <c r="F65" s="169">
        <v>0</v>
      </c>
      <c r="G65" s="56" t="s">
        <v>258</v>
      </c>
      <c r="H65" s="172">
        <v>6500</v>
      </c>
      <c r="I65" s="136">
        <f t="shared" si="5"/>
        <v>0</v>
      </c>
      <c r="J65" s="139">
        <f t="shared" si="6"/>
        <v>0</v>
      </c>
      <c r="K65" s="13"/>
    </row>
    <row r="66" spans="2:11">
      <c r="B66" s="12"/>
      <c r="C66" s="53" t="s">
        <v>372</v>
      </c>
      <c r="D66" s="54" t="s">
        <v>373</v>
      </c>
      <c r="E66" s="54"/>
      <c r="F66" s="169">
        <v>0</v>
      </c>
      <c r="G66" s="56" t="s">
        <v>258</v>
      </c>
      <c r="H66" s="172">
        <v>0</v>
      </c>
      <c r="I66" s="136">
        <f t="shared" si="5"/>
        <v>0</v>
      </c>
      <c r="J66" s="139">
        <f t="shared" si="6"/>
        <v>0</v>
      </c>
      <c r="K66" s="13"/>
    </row>
    <row r="67" spans="2:11">
      <c r="B67" s="12"/>
      <c r="C67" s="53" t="s">
        <v>374</v>
      </c>
      <c r="D67" s="54" t="s">
        <v>375</v>
      </c>
      <c r="E67" s="54"/>
      <c r="F67" s="169">
        <v>0</v>
      </c>
      <c r="G67" s="56" t="s">
        <v>258</v>
      </c>
      <c r="H67" s="172">
        <v>0</v>
      </c>
      <c r="I67" s="136">
        <f t="shared" si="5"/>
        <v>0</v>
      </c>
      <c r="J67" s="139">
        <f t="shared" si="6"/>
        <v>0</v>
      </c>
      <c r="K67" s="13"/>
    </row>
    <row r="68" spans="2:11">
      <c r="B68" s="12"/>
      <c r="C68" s="53" t="s">
        <v>376</v>
      </c>
      <c r="D68" s="54" t="s">
        <v>377</v>
      </c>
      <c r="E68" s="54"/>
      <c r="F68" s="169">
        <v>0</v>
      </c>
      <c r="G68" s="56" t="s">
        <v>258</v>
      </c>
      <c r="H68" s="172">
        <v>2000</v>
      </c>
      <c r="I68" s="136">
        <f t="shared" si="5"/>
        <v>0</v>
      </c>
      <c r="J68" s="139">
        <f t="shared" si="6"/>
        <v>0</v>
      </c>
      <c r="K68" s="13"/>
    </row>
    <row r="69" spans="2:11">
      <c r="B69" s="12"/>
      <c r="C69" s="53" t="s">
        <v>378</v>
      </c>
      <c r="D69" s="54" t="s">
        <v>379</v>
      </c>
      <c r="E69" s="54"/>
      <c r="F69" s="169">
        <v>0</v>
      </c>
      <c r="G69" s="56" t="s">
        <v>258</v>
      </c>
      <c r="H69" s="172">
        <v>4000</v>
      </c>
      <c r="I69" s="136">
        <f t="shared" si="5"/>
        <v>0</v>
      </c>
      <c r="J69" s="139">
        <f t="shared" si="6"/>
        <v>0</v>
      </c>
      <c r="K69" s="13"/>
    </row>
    <row r="70" spans="2:11">
      <c r="B70" s="12"/>
      <c r="C70" s="53" t="s">
        <v>380</v>
      </c>
      <c r="D70" s="54" t="s">
        <v>381</v>
      </c>
      <c r="E70" s="54"/>
      <c r="F70" s="169">
        <v>0</v>
      </c>
      <c r="G70" s="56" t="s">
        <v>258</v>
      </c>
      <c r="H70" s="172">
        <v>300</v>
      </c>
      <c r="I70" s="136">
        <f t="shared" si="5"/>
        <v>0</v>
      </c>
      <c r="J70" s="139">
        <f t="shared" si="6"/>
        <v>0</v>
      </c>
      <c r="K70" s="13"/>
    </row>
    <row r="71" spans="2:11" ht="14.1" customHeight="1">
      <c r="B71" s="12"/>
      <c r="C71" s="53"/>
      <c r="D71" s="54"/>
      <c r="E71" s="54"/>
      <c r="F71" s="169"/>
      <c r="G71" s="56"/>
      <c r="H71" s="172"/>
      <c r="I71" s="136"/>
      <c r="J71" s="139"/>
      <c r="K71" s="13"/>
    </row>
    <row r="72" spans="2:11" ht="19.5" thickBot="1">
      <c r="B72" s="12"/>
      <c r="C72" s="59"/>
      <c r="D72" s="60"/>
      <c r="E72" s="60"/>
      <c r="F72" s="61"/>
      <c r="G72" s="62"/>
      <c r="H72" s="63" t="s">
        <v>382</v>
      </c>
      <c r="I72" s="140">
        <f>SUM(I64:I71)</f>
        <v>0</v>
      </c>
      <c r="J72" s="141">
        <f>IF($J$8=0, 0, I72/$J$8)</f>
        <v>0</v>
      </c>
      <c r="K72" s="66"/>
    </row>
    <row r="73" spans="2:11" ht="17.25">
      <c r="B73" s="12"/>
      <c r="C73" s="443" t="s">
        <v>383</v>
      </c>
      <c r="D73" s="444" t="s">
        <v>217</v>
      </c>
      <c r="E73" s="318">
        <f>SUM(I74:I81)</f>
        <v>0</v>
      </c>
      <c r="F73" s="178"/>
      <c r="G73" s="180"/>
      <c r="H73" s="180"/>
      <c r="I73" s="181"/>
      <c r="J73" s="182"/>
      <c r="K73" s="13"/>
    </row>
    <row r="74" spans="2:11" ht="14.1" customHeight="1">
      <c r="B74" s="12"/>
      <c r="C74" s="53"/>
      <c r="D74" s="54"/>
      <c r="E74" s="54"/>
      <c r="F74" s="169"/>
      <c r="G74" s="56"/>
      <c r="H74" s="172"/>
      <c r="I74" s="136"/>
      <c r="J74" s="139"/>
      <c r="K74" s="13"/>
    </row>
    <row r="75" spans="2:11">
      <c r="B75" s="12"/>
      <c r="C75" s="53" t="s">
        <v>384</v>
      </c>
      <c r="D75" s="54" t="s">
        <v>385</v>
      </c>
      <c r="E75" s="54"/>
      <c r="F75" s="169">
        <v>0</v>
      </c>
      <c r="G75" s="56" t="s">
        <v>229</v>
      </c>
      <c r="H75" s="172">
        <v>0</v>
      </c>
      <c r="I75" s="136">
        <f t="shared" si="5"/>
        <v>0</v>
      </c>
      <c r="J75" s="139">
        <f t="shared" si="6"/>
        <v>0</v>
      </c>
      <c r="K75" s="13"/>
    </row>
    <row r="76" spans="2:11">
      <c r="B76" s="12"/>
      <c r="C76" s="53" t="s">
        <v>386</v>
      </c>
      <c r="D76" s="54" t="s">
        <v>387</v>
      </c>
      <c r="E76" s="54"/>
      <c r="F76" s="169">
        <v>0</v>
      </c>
      <c r="G76" s="56" t="s">
        <v>229</v>
      </c>
      <c r="H76" s="172">
        <v>0</v>
      </c>
      <c r="I76" s="136">
        <f t="shared" si="5"/>
        <v>0</v>
      </c>
      <c r="J76" s="139">
        <f t="shared" si="6"/>
        <v>0</v>
      </c>
      <c r="K76" s="13"/>
    </row>
    <row r="77" spans="2:11">
      <c r="B77" s="12"/>
      <c r="C77" s="53" t="s">
        <v>388</v>
      </c>
      <c r="D77" s="54" t="s">
        <v>389</v>
      </c>
      <c r="E77" s="54"/>
      <c r="F77" s="169">
        <v>0</v>
      </c>
      <c r="G77" s="56" t="s">
        <v>229</v>
      </c>
      <c r="H77" s="172">
        <v>0</v>
      </c>
      <c r="I77" s="136">
        <f t="shared" si="5"/>
        <v>0</v>
      </c>
      <c r="J77" s="139">
        <f t="shared" si="6"/>
        <v>0</v>
      </c>
      <c r="K77" s="13"/>
    </row>
    <row r="78" spans="2:11">
      <c r="B78" s="12"/>
      <c r="C78" s="53" t="s">
        <v>390</v>
      </c>
      <c r="D78" s="54" t="s">
        <v>391</v>
      </c>
      <c r="E78" s="54"/>
      <c r="F78" s="169">
        <v>0</v>
      </c>
      <c r="G78" s="56" t="s">
        <v>229</v>
      </c>
      <c r="H78" s="172">
        <v>0</v>
      </c>
      <c r="I78" s="136">
        <f t="shared" si="5"/>
        <v>0</v>
      </c>
      <c r="J78" s="139">
        <f t="shared" si="6"/>
        <v>0</v>
      </c>
      <c r="K78" s="13"/>
    </row>
    <row r="79" spans="2:11">
      <c r="B79" s="12"/>
      <c r="C79" s="53" t="s">
        <v>392</v>
      </c>
      <c r="D79" s="54" t="s">
        <v>393</v>
      </c>
      <c r="E79" s="54"/>
      <c r="F79" s="169">
        <v>0</v>
      </c>
      <c r="G79" s="56" t="s">
        <v>229</v>
      </c>
      <c r="H79" s="172">
        <v>0</v>
      </c>
      <c r="I79" s="136">
        <f t="shared" si="5"/>
        <v>0</v>
      </c>
      <c r="J79" s="139">
        <f t="shared" si="6"/>
        <v>0</v>
      </c>
      <c r="K79" s="13"/>
    </row>
    <row r="80" spans="2:11">
      <c r="B80" s="12"/>
      <c r="C80" s="53" t="s">
        <v>394</v>
      </c>
      <c r="D80" s="54" t="s">
        <v>395</v>
      </c>
      <c r="E80" s="54"/>
      <c r="F80" s="169">
        <v>0</v>
      </c>
      <c r="G80" s="56" t="s">
        <v>229</v>
      </c>
      <c r="H80" s="172">
        <v>0</v>
      </c>
      <c r="I80" s="136">
        <f t="shared" si="5"/>
        <v>0</v>
      </c>
      <c r="J80" s="139">
        <f t="shared" si="6"/>
        <v>0</v>
      </c>
      <c r="K80" s="13"/>
    </row>
    <row r="81" spans="2:11" ht="14.1" customHeight="1">
      <c r="B81" s="12"/>
      <c r="C81" s="53"/>
      <c r="D81" s="54"/>
      <c r="E81" s="54"/>
      <c r="F81" s="169"/>
      <c r="G81" s="56"/>
      <c r="H81" s="172"/>
      <c r="I81" s="136"/>
      <c r="J81" s="139"/>
      <c r="K81" s="13"/>
    </row>
    <row r="82" spans="2:11" ht="19.5" thickBot="1">
      <c r="B82" s="12"/>
      <c r="C82" s="59"/>
      <c r="D82" s="60"/>
      <c r="E82" s="60"/>
      <c r="F82" s="61"/>
      <c r="G82" s="62"/>
      <c r="H82" s="63" t="s">
        <v>396</v>
      </c>
      <c r="I82" s="140">
        <f>SUM(I74:I81)</f>
        <v>0</v>
      </c>
      <c r="J82" s="141">
        <f>IF($J$8=0, 0, I82/$J$8)</f>
        <v>0</v>
      </c>
      <c r="K82" s="66"/>
    </row>
    <row r="83" spans="2:11" ht="14.25" thickBot="1">
      <c r="B83" s="38"/>
      <c r="C83" s="39"/>
      <c r="D83" s="39"/>
      <c r="E83" s="39"/>
      <c r="F83" s="39"/>
      <c r="G83" s="39"/>
      <c r="H83" s="39"/>
      <c r="I83" s="39"/>
      <c r="J83" s="39"/>
      <c r="K83" s="40"/>
    </row>
    <row r="84" spans="2:11" ht="9.6" customHeight="1"/>
  </sheetData>
  <sheetProtection sheet="1" formatCells="0" formatColumns="0" formatRows="0" insertColumns="0" insertRows="0" insertHyperlinks="0" deleteColumns="0" deleteRows="0" sort="0" autoFilter="0" pivotTables="0"/>
  <autoFilter ref="B9:J82" xr:uid="{68C27A02-8F2F-485A-9821-E375F29CF7EA}"/>
  <sortState xmlns:xlrd2="http://schemas.microsoft.com/office/spreadsheetml/2017/richdata2" ref="C12:J80">
    <sortCondition ref="C12:C80"/>
  </sortState>
  <mergeCells count="12">
    <mergeCell ref="H5:I5"/>
    <mergeCell ref="H3:I3"/>
    <mergeCell ref="H4:I4"/>
    <mergeCell ref="C63:D63"/>
    <mergeCell ref="C73:D73"/>
    <mergeCell ref="C10:D10"/>
    <mergeCell ref="C30:D30"/>
    <mergeCell ref="C36:D36"/>
    <mergeCell ref="C41:D41"/>
    <mergeCell ref="C46:D46"/>
    <mergeCell ref="C52:D52"/>
    <mergeCell ref="E3:G3"/>
  </mergeCells>
  <pageMargins left="0.7" right="0.7" top="0.75" bottom="0.75" header="0.3" footer="0.3"/>
  <pageSetup scale="5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F2FBB-52C0-47F7-910C-7057D436A2ED}">
  <sheetPr codeName="Sheet14">
    <pageSetUpPr autoPageBreaks="0" fitToPage="1"/>
  </sheetPr>
  <dimension ref="A1:U349"/>
  <sheetViews>
    <sheetView showGridLines="0" tabSelected="1" view="pageBreakPreview" zoomScale="85" zoomScaleNormal="85" zoomScaleSheetLayoutView="85" workbookViewId="0">
      <pane ySplit="9" topLeftCell="A19" activePane="bottomLeft" state="frozen"/>
      <selection activeCell="G7" sqref="G7"/>
      <selection pane="bottomLeft" activeCell="F26" sqref="F26"/>
    </sheetView>
  </sheetViews>
  <sheetFormatPr defaultColWidth="11" defaultRowHeight="13.5"/>
  <cols>
    <col min="1" max="1" width="8.5703125" style="7" customWidth="1"/>
    <col min="2" max="2" width="1.85546875" style="7" customWidth="1"/>
    <col min="3" max="3" width="17" style="7" customWidth="1"/>
    <col min="4" max="4" width="42.85546875" style="7" customWidth="1"/>
    <col min="5" max="5" width="25.140625" style="7" customWidth="1"/>
    <col min="6" max="6" width="17" style="7" customWidth="1"/>
    <col min="7" max="7" width="10.7109375" style="7" customWidth="1"/>
    <col min="8" max="9" width="17" style="7" customWidth="1"/>
    <col min="10" max="10" width="17" style="7" hidden="1" customWidth="1"/>
    <col min="11" max="11" width="17" style="7" customWidth="1"/>
    <col min="12" max="12" width="1.85546875" style="7" customWidth="1"/>
    <col min="13" max="13" width="2.85546875" style="7" customWidth="1"/>
    <col min="14" max="14" width="1.85546875" style="7" customWidth="1"/>
    <col min="15" max="15" width="35.140625" style="7" customWidth="1"/>
    <col min="16" max="16" width="14.28515625" style="7" bestFit="1" customWidth="1"/>
    <col min="17" max="18" width="1.85546875" style="7" customWidth="1"/>
    <col min="19" max="19" width="34.85546875" style="7" bestFit="1" customWidth="1"/>
    <col min="20" max="20" width="13" style="7" customWidth="1"/>
    <col min="21" max="21" width="2.28515625" style="7" customWidth="1"/>
    <col min="22" max="16384" width="11" style="7"/>
  </cols>
  <sheetData>
    <row r="1" spans="1:21" ht="8.4499999999999993" customHeight="1"/>
    <row r="2" spans="1:21" ht="17.25" thickBot="1">
      <c r="C2" s="133" t="str">
        <f>'STEP 1 - PROJECT DATA'!D6&amp; "." &amp; 'STEP 1 - PROJECT DATA'!D7</f>
        <v>E26-123.0</v>
      </c>
      <c r="D2" s="134"/>
      <c r="E2" s="2"/>
      <c r="F2" s="325"/>
      <c r="G2"/>
      <c r="H2"/>
      <c r="I2" s="122" t="str">
        <f>'STEP 1 - PROJECT DATA'!F9</f>
        <v>Bid Due Date</v>
      </c>
      <c r="J2" s="123"/>
      <c r="K2" s="123">
        <f>'STEP 1 - PROJECT DATA'!G9</f>
        <v>46010</v>
      </c>
      <c r="O2" s="438" t="s">
        <v>207</v>
      </c>
    </row>
    <row r="3" spans="1:21" ht="18.75">
      <c r="B3" s="8"/>
      <c r="C3" s="135" t="str">
        <f>'STEP 1 - PROJECT DATA'!C5</f>
        <v>Project Name</v>
      </c>
      <c r="D3" s="125" t="str">
        <f>'STEP 1 - PROJECT DATA'!D5</f>
        <v>Name</v>
      </c>
      <c r="E3" s="445" t="s">
        <v>397</v>
      </c>
      <c r="F3" s="445"/>
      <c r="G3" s="445"/>
      <c r="H3" s="446" t="str">
        <f>'STEP 1 - PROJECT DATA'!C10</f>
        <v>Expected Start</v>
      </c>
      <c r="I3" s="446"/>
      <c r="J3" s="326"/>
      <c r="K3" s="326">
        <f>'STEP 1 - PROJECT DATA'!D10</f>
        <v>46174</v>
      </c>
      <c r="L3" s="11"/>
      <c r="O3" s="439" t="s">
        <v>208</v>
      </c>
      <c r="U3" s="41"/>
    </row>
    <row r="4" spans="1:21" ht="16.5">
      <c r="B4" s="12"/>
      <c r="C4" s="121" t="s">
        <v>17</v>
      </c>
      <c r="D4" s="3" t="str">
        <f>'STEP 1 - PROJECT DATA'!D8</f>
        <v>1234 Main St</v>
      </c>
      <c r="E4"/>
      <c r="F4"/>
      <c r="G4"/>
      <c r="H4" s="447" t="str">
        <f>'STEP 1 - PROJECT DATA'!C11</f>
        <v>Expected Finish</v>
      </c>
      <c r="I4" s="447"/>
      <c r="J4" s="123"/>
      <c r="K4" s="123">
        <f>'STEP 1 - PROJECT DATA'!D11</f>
        <v>46235</v>
      </c>
      <c r="L4" s="13"/>
      <c r="O4" s="440" t="s">
        <v>210</v>
      </c>
      <c r="U4" s="41"/>
    </row>
    <row r="5" spans="1:21" ht="16.5">
      <c r="B5" s="12"/>
      <c r="C5" s="121"/>
      <c r="D5" s="3" t="str">
        <f>'STEP 1 - PROJECT DATA'!D9</f>
        <v>Minneapolis, MN</v>
      </c>
      <c r="E5"/>
      <c r="F5"/>
      <c r="G5"/>
      <c r="H5" s="447" t="s">
        <v>18</v>
      </c>
      <c r="I5" s="447"/>
      <c r="J5" s="130"/>
      <c r="K5" s="130">
        <f>'STEP 1 - PROJECT DATA'!D28</f>
        <v>2</v>
      </c>
      <c r="L5" s="72"/>
      <c r="U5" s="42"/>
    </row>
    <row r="6" spans="1:21" ht="17.25" thickBot="1">
      <c r="B6" s="12"/>
      <c r="C6" s="121" t="str">
        <f>'STEP 1 - PROJECT DATA'!C13</f>
        <v>Architect</v>
      </c>
      <c r="D6" s="3" t="str">
        <f>'STEP 1 - PROJECT DATA'!D13</f>
        <v>TBD</v>
      </c>
      <c r="E6"/>
      <c r="F6"/>
      <c r="G6"/>
      <c r="H6"/>
      <c r="I6"/>
      <c r="J6"/>
      <c r="K6"/>
      <c r="L6" s="73"/>
    </row>
    <row r="7" spans="1:21" ht="16.5">
      <c r="B7" s="12"/>
      <c r="C7" s="121" t="str">
        <f>'STEP 1 - PROJECT DATA'!C14</f>
        <v>Plan Set</v>
      </c>
      <c r="D7" s="3" t="str">
        <f>'STEP 1 - PROJECT DATA'!D14</f>
        <v>TBD</v>
      </c>
      <c r="E7" s="3"/>
      <c r="F7"/>
      <c r="G7"/>
      <c r="H7"/>
      <c r="I7"/>
      <c r="J7" s="131" t="str">
        <f>'STEP 1 - PROJECT DATA'!C58</f>
        <v># of Units</v>
      </c>
      <c r="K7" s="131" t="str">
        <f>'STEP 1 - PROJECT DATA'!C12</f>
        <v>Project Size</v>
      </c>
      <c r="L7" s="73"/>
      <c r="N7" s="8"/>
      <c r="O7" s="9"/>
      <c r="P7" s="9"/>
      <c r="Q7" s="11"/>
    </row>
    <row r="8" spans="1:21" ht="17.25" thickBot="1">
      <c r="B8" s="12"/>
      <c r="C8" s="121"/>
      <c r="D8"/>
      <c r="E8"/>
      <c r="F8"/>
      <c r="G8"/>
      <c r="H8"/>
      <c r="I8"/>
      <c r="J8" s="387">
        <f>'STEP 1 - PROJECT DATA'!D58</f>
        <v>100</v>
      </c>
      <c r="K8" s="132">
        <f>'STEP 1 - PROJECT DATA'!D12</f>
        <v>10</v>
      </c>
      <c r="L8" s="73"/>
      <c r="N8" s="12"/>
      <c r="Q8" s="13"/>
    </row>
    <row r="9" spans="1:21" ht="17.25" thickBot="1">
      <c r="A9" s="7" t="s">
        <v>398</v>
      </c>
      <c r="B9" s="12"/>
      <c r="C9" s="175" t="s">
        <v>212</v>
      </c>
      <c r="D9" s="176" t="s">
        <v>91</v>
      </c>
      <c r="E9" s="176"/>
      <c r="F9" s="176" t="s">
        <v>149</v>
      </c>
      <c r="G9" s="176" t="s">
        <v>150</v>
      </c>
      <c r="H9" s="176" t="s">
        <v>399</v>
      </c>
      <c r="I9" s="176" t="s">
        <v>178</v>
      </c>
      <c r="J9" s="187" t="s">
        <v>400</v>
      </c>
      <c r="K9" s="187" t="s">
        <v>215</v>
      </c>
      <c r="L9" s="73"/>
      <c r="M9" s="74"/>
      <c r="N9" s="75"/>
      <c r="O9" s="183" t="s">
        <v>401</v>
      </c>
      <c r="P9" s="184" t="s">
        <v>402</v>
      </c>
      <c r="Q9" s="13"/>
    </row>
    <row r="10" spans="1:21" ht="17.25">
      <c r="A10" s="7" t="s">
        <v>403</v>
      </c>
      <c r="B10" s="12"/>
      <c r="C10" s="443" t="s">
        <v>250</v>
      </c>
      <c r="D10" s="444" t="s">
        <v>217</v>
      </c>
      <c r="E10" s="318">
        <f>SUM(I11:I14)</f>
        <v>107998.85023333333</v>
      </c>
      <c r="F10" s="178"/>
      <c r="G10" s="179"/>
      <c r="H10" s="180"/>
      <c r="I10" s="191"/>
      <c r="J10" s="192"/>
      <c r="K10" s="192"/>
      <c r="L10" s="73"/>
      <c r="N10" s="12"/>
      <c r="O10" s="185"/>
      <c r="P10" s="186"/>
      <c r="Q10" s="13"/>
    </row>
    <row r="11" spans="1:21">
      <c r="A11" s="7" t="s">
        <v>403</v>
      </c>
      <c r="B11" s="12"/>
      <c r="C11" s="79"/>
      <c r="D11" s="80"/>
      <c r="E11" s="54"/>
      <c r="F11" s="169"/>
      <c r="G11" s="56"/>
      <c r="H11" s="320"/>
      <c r="I11" s="57"/>
      <c r="J11" s="77"/>
      <c r="K11" s="77"/>
      <c r="L11" s="73"/>
      <c r="N11" s="12"/>
      <c r="O11" s="29"/>
      <c r="P11" s="203"/>
      <c r="Q11" s="13"/>
    </row>
    <row r="12" spans="1:21" ht="16.5" customHeight="1">
      <c r="A12" s="7" t="s">
        <v>403</v>
      </c>
      <c r="B12" s="12"/>
      <c r="C12" s="53" t="s">
        <v>1182</v>
      </c>
      <c r="D12" s="54" t="s">
        <v>404</v>
      </c>
      <c r="E12" s="54"/>
      <c r="F12" s="170">
        <v>1</v>
      </c>
      <c r="G12" s="327" t="s">
        <v>229</v>
      </c>
      <c r="H12" s="171">
        <f>'STEP 2 - GCs'!I58</f>
        <v>64698.850233333338</v>
      </c>
      <c r="I12" s="136">
        <f>IF(ISNUMBER(F12), F12 * H12, 0)</f>
        <v>64698.850233333338</v>
      </c>
      <c r="J12" s="137">
        <f>IF($J$8=0, 0, I12/$J$8)</f>
        <v>646.98850233333337</v>
      </c>
      <c r="K12" s="137">
        <f t="shared" ref="K12" si="0">IF($K$8=0, 0, I12/$K$8)</f>
        <v>6469.8850233333342</v>
      </c>
      <c r="L12" s="73"/>
      <c r="N12" s="12"/>
      <c r="O12" s="29" t="s">
        <v>405</v>
      </c>
      <c r="P12" s="203">
        <f>I12</f>
        <v>64698.850233333338</v>
      </c>
      <c r="Q12" s="13"/>
      <c r="S12" s="2" t="b">
        <f>'STEP 2 - GCs'!I58='STEP 4 - ESTIMATE'!I12</f>
        <v>1</v>
      </c>
    </row>
    <row r="13" spans="1:21" ht="16.5" customHeight="1">
      <c r="A13" s="7" t="s">
        <v>403</v>
      </c>
      <c r="B13" s="12"/>
      <c r="C13" s="53" t="s">
        <v>1183</v>
      </c>
      <c r="D13" s="54" t="s">
        <v>406</v>
      </c>
      <c r="E13" s="54"/>
      <c r="F13" s="170">
        <v>1</v>
      </c>
      <c r="G13" s="327" t="s">
        <v>229</v>
      </c>
      <c r="H13" s="171">
        <f>'STEP 2 - GCs'!I16</f>
        <v>43300</v>
      </c>
      <c r="I13" s="136">
        <f>IF(ISNUMBER(F13), F13 * H13, 0)</f>
        <v>43300</v>
      </c>
      <c r="J13" s="137">
        <f>IF($J$8=0, 0, I13/$J$8)</f>
        <v>433</v>
      </c>
      <c r="K13" s="137">
        <f t="shared" ref="K13" si="1">IF($K$8=0, 0, I13/$K$8)</f>
        <v>4330</v>
      </c>
      <c r="L13" s="73"/>
      <c r="N13" s="12"/>
      <c r="O13" s="29" t="s">
        <v>405</v>
      </c>
      <c r="P13" s="203">
        <f>I13</f>
        <v>43300</v>
      </c>
      <c r="Q13" s="13"/>
      <c r="S13" s="2" t="b">
        <f>I13='STEP 2 - GCs'!I16</f>
        <v>1</v>
      </c>
    </row>
    <row r="14" spans="1:21" ht="16.5" customHeight="1" thickBot="1">
      <c r="A14" s="7" t="s">
        <v>403</v>
      </c>
      <c r="B14" s="12"/>
      <c r="C14" s="53"/>
      <c r="D14" s="54"/>
      <c r="E14" s="54"/>
      <c r="F14" s="169"/>
      <c r="G14" s="56"/>
      <c r="H14" s="320"/>
      <c r="I14" s="57"/>
      <c r="J14" s="77"/>
      <c r="K14" s="77"/>
      <c r="L14" s="73"/>
      <c r="N14" s="12"/>
      <c r="O14" s="29"/>
      <c r="P14" s="203"/>
      <c r="Q14" s="13"/>
      <c r="S14" s="2"/>
    </row>
    <row r="15" spans="1:21" ht="17.25">
      <c r="A15" s="7" t="s">
        <v>403</v>
      </c>
      <c r="B15" s="12"/>
      <c r="C15" s="443" t="s">
        <v>407</v>
      </c>
      <c r="D15" s="444" t="s">
        <v>408</v>
      </c>
      <c r="E15" s="318">
        <f>SUM(I16:I25)</f>
        <v>2.5</v>
      </c>
      <c r="F15" s="178"/>
      <c r="G15" s="179"/>
      <c r="H15" s="180"/>
      <c r="I15" s="191"/>
      <c r="J15" s="192"/>
      <c r="K15" s="192"/>
      <c r="L15" s="73"/>
      <c r="N15" s="12"/>
      <c r="O15" s="204"/>
      <c r="P15" s="205"/>
      <c r="Q15" s="13"/>
      <c r="S15" s="2"/>
    </row>
    <row r="16" spans="1:21">
      <c r="A16" s="7" t="s">
        <v>403</v>
      </c>
      <c r="B16" s="12"/>
      <c r="C16" s="79"/>
      <c r="D16" s="80"/>
      <c r="E16" s="54"/>
      <c r="F16" s="169"/>
      <c r="G16" s="56"/>
      <c r="H16" s="320"/>
      <c r="I16" s="57"/>
      <c r="J16" s="77"/>
      <c r="K16" s="77"/>
      <c r="L16" s="73"/>
      <c r="N16" s="12"/>
      <c r="O16" s="29"/>
      <c r="P16" s="203"/>
      <c r="Q16" s="13"/>
      <c r="S16" s="2"/>
    </row>
    <row r="17" spans="1:19" ht="16.5" customHeight="1">
      <c r="A17" s="7" t="s">
        <v>403</v>
      </c>
      <c r="B17" s="12"/>
      <c r="C17" s="53" t="s">
        <v>1184</v>
      </c>
      <c r="D17" s="54" t="s">
        <v>301</v>
      </c>
      <c r="E17" s="54"/>
      <c r="F17" s="170">
        <v>1</v>
      </c>
      <c r="G17" s="327" t="s">
        <v>229</v>
      </c>
      <c r="H17" s="171">
        <f>'STEP 3 - SITE OPS'!I29</f>
        <v>2.5</v>
      </c>
      <c r="I17" s="136">
        <f t="shared" ref="I17:I24" si="2">IF(ISNUMBER(F17), F17 * H17, 0)</f>
        <v>2.5</v>
      </c>
      <c r="J17" s="137">
        <f t="shared" ref="J17:J24" si="3">IF($J$8=0, 0, I17/$J$8)</f>
        <v>2.5000000000000001E-2</v>
      </c>
      <c r="K17" s="137">
        <f t="shared" ref="K17" si="4">IF($K$8=0, 0, I17/$K$8)</f>
        <v>0.25</v>
      </c>
      <c r="L17" s="73"/>
      <c r="N17" s="12"/>
      <c r="O17" s="29"/>
      <c r="P17" s="203"/>
      <c r="Q17" s="13"/>
      <c r="S17" s="2" t="b">
        <f>I17='STEP 3 - SITE OPS'!I29</f>
        <v>1</v>
      </c>
    </row>
    <row r="18" spans="1:19" ht="16.5" customHeight="1">
      <c r="A18" s="7" t="s">
        <v>403</v>
      </c>
      <c r="B18" s="12"/>
      <c r="C18" s="53" t="s">
        <v>1185</v>
      </c>
      <c r="D18" s="54" t="s">
        <v>337</v>
      </c>
      <c r="E18" s="54"/>
      <c r="F18" s="170">
        <v>1</v>
      </c>
      <c r="G18" s="327" t="s">
        <v>229</v>
      </c>
      <c r="H18" s="171">
        <f>'STEP 3 - SITE OPS'!I35</f>
        <v>0</v>
      </c>
      <c r="I18" s="136">
        <f t="shared" si="2"/>
        <v>0</v>
      </c>
      <c r="J18" s="137">
        <f t="shared" si="3"/>
        <v>0</v>
      </c>
      <c r="K18" s="137">
        <f t="shared" ref="K18:K20" si="5">IF($K$8=0, 0, I18/$K$8)</f>
        <v>0</v>
      </c>
      <c r="L18" s="73"/>
      <c r="N18" s="12"/>
      <c r="O18" s="29"/>
      <c r="P18" s="203"/>
      <c r="Q18" s="13"/>
      <c r="S18" s="2" t="b">
        <f>I18='STEP 3 - SITE OPS'!I35</f>
        <v>1</v>
      </c>
    </row>
    <row r="19" spans="1:19" ht="16.5" customHeight="1">
      <c r="A19" s="7" t="s">
        <v>403</v>
      </c>
      <c r="B19" s="12"/>
      <c r="C19" s="78" t="s">
        <v>1186</v>
      </c>
      <c r="D19" s="54" t="s">
        <v>342</v>
      </c>
      <c r="E19" s="54"/>
      <c r="F19" s="170">
        <v>1</v>
      </c>
      <c r="G19" s="327" t="s">
        <v>229</v>
      </c>
      <c r="H19" s="171">
        <f>'STEP 3 - SITE OPS'!I38</f>
        <v>0</v>
      </c>
      <c r="I19" s="136">
        <f t="shared" si="2"/>
        <v>0</v>
      </c>
      <c r="J19" s="137">
        <f t="shared" si="3"/>
        <v>0</v>
      </c>
      <c r="K19" s="137">
        <f t="shared" si="5"/>
        <v>0</v>
      </c>
      <c r="L19" s="73"/>
      <c r="N19" s="12"/>
      <c r="O19" s="29"/>
      <c r="P19" s="203"/>
      <c r="Q19" s="13"/>
      <c r="S19" s="2" t="b">
        <f>'STEP 4 - ESTIMATE'!I19='STEP 3 - SITE OPS'!I40</f>
        <v>1</v>
      </c>
    </row>
    <row r="20" spans="1:19" ht="16.5" customHeight="1">
      <c r="B20" s="12"/>
      <c r="C20" s="78" t="s">
        <v>1188</v>
      </c>
      <c r="D20" s="54" t="s">
        <v>346</v>
      </c>
      <c r="E20" s="54"/>
      <c r="F20" s="170">
        <v>1</v>
      </c>
      <c r="G20" s="327" t="s">
        <v>229</v>
      </c>
      <c r="H20" s="171">
        <f>'STEP 3 - SITE OPS'!I43</f>
        <v>0</v>
      </c>
      <c r="I20" s="136">
        <f t="shared" si="2"/>
        <v>0</v>
      </c>
      <c r="J20" s="137">
        <f t="shared" si="3"/>
        <v>0</v>
      </c>
      <c r="K20" s="137">
        <f t="shared" si="5"/>
        <v>0</v>
      </c>
      <c r="L20" s="73"/>
      <c r="N20" s="12"/>
      <c r="O20" s="29"/>
      <c r="P20" s="203"/>
      <c r="Q20" s="13"/>
      <c r="S20" s="2" t="b">
        <f>I20='STEP 3 - SITE OPS'!I45</f>
        <v>1</v>
      </c>
    </row>
    <row r="21" spans="1:19" ht="16.5" customHeight="1">
      <c r="B21" s="12"/>
      <c r="C21" s="78" t="s">
        <v>1189</v>
      </c>
      <c r="D21" s="54" t="s">
        <v>409</v>
      </c>
      <c r="E21" s="54"/>
      <c r="F21" s="170">
        <v>1</v>
      </c>
      <c r="G21" s="327" t="s">
        <v>229</v>
      </c>
      <c r="H21" s="171">
        <f>'STEP 3 - SITE OPS'!I51</f>
        <v>0</v>
      </c>
      <c r="I21" s="136">
        <f t="shared" si="2"/>
        <v>0</v>
      </c>
      <c r="J21" s="137">
        <f t="shared" si="3"/>
        <v>0</v>
      </c>
      <c r="K21" s="137">
        <f t="shared" ref="K21:K24" si="6">IF($K$8=0, 0, I21/$K$8)</f>
        <v>0</v>
      </c>
      <c r="L21" s="73"/>
      <c r="N21" s="12"/>
      <c r="O21" s="29"/>
      <c r="P21" s="203"/>
      <c r="Q21" s="13"/>
      <c r="S21" s="2" t="b">
        <f>'STEP 4 - ESTIMATE'!I21='STEP 3 - SITE OPS'!I51</f>
        <v>1</v>
      </c>
    </row>
    <row r="22" spans="1:19" ht="16.5" customHeight="1">
      <c r="B22" s="12"/>
      <c r="C22" s="78" t="s">
        <v>1187</v>
      </c>
      <c r="D22" s="54" t="s">
        <v>410</v>
      </c>
      <c r="E22" s="54"/>
      <c r="F22" s="170">
        <v>1</v>
      </c>
      <c r="G22" s="327" t="s">
        <v>229</v>
      </c>
      <c r="H22" s="171">
        <f>'STEP 3 - SITE OPS'!I62</f>
        <v>0</v>
      </c>
      <c r="I22" s="136">
        <f t="shared" si="2"/>
        <v>0</v>
      </c>
      <c r="J22" s="137">
        <f t="shared" si="3"/>
        <v>0</v>
      </c>
      <c r="K22" s="137">
        <f t="shared" ref="K22" si="7">IF($K$8=0, 0, I22/$K$8)</f>
        <v>0</v>
      </c>
      <c r="L22" s="73"/>
      <c r="N22" s="12"/>
      <c r="O22" s="29"/>
      <c r="P22" s="203"/>
      <c r="Q22" s="13"/>
      <c r="S22" s="2" t="b">
        <f>I22='STEP 3 - SITE OPS'!I62</f>
        <v>1</v>
      </c>
    </row>
    <row r="23" spans="1:19" ht="16.5" customHeight="1">
      <c r="A23" s="7" t="s">
        <v>403</v>
      </c>
      <c r="B23" s="12"/>
      <c r="C23" s="78" t="s">
        <v>1190</v>
      </c>
      <c r="D23" s="54" t="s">
        <v>411</v>
      </c>
      <c r="E23" s="54"/>
      <c r="F23" s="170">
        <v>1</v>
      </c>
      <c r="G23" s="327" t="s">
        <v>229</v>
      </c>
      <c r="H23" s="171">
        <f>'STEP 3 - SITE OPS'!I72</f>
        <v>0</v>
      </c>
      <c r="I23" s="136">
        <f t="shared" si="2"/>
        <v>0</v>
      </c>
      <c r="J23" s="137">
        <f t="shared" si="3"/>
        <v>0</v>
      </c>
      <c r="K23" s="137">
        <f t="shared" si="6"/>
        <v>0</v>
      </c>
      <c r="L23" s="73"/>
      <c r="N23" s="12"/>
      <c r="O23" s="29"/>
      <c r="P23" s="203"/>
      <c r="Q23" s="13"/>
      <c r="S23" s="2" t="b">
        <f>I23='STEP 3 - SITE OPS'!I72</f>
        <v>1</v>
      </c>
    </row>
    <row r="24" spans="1:19" ht="16.5" customHeight="1">
      <c r="B24" s="12"/>
      <c r="C24" s="78" t="s">
        <v>1191</v>
      </c>
      <c r="D24" s="54" t="s">
        <v>412</v>
      </c>
      <c r="E24" s="54"/>
      <c r="F24" s="170">
        <v>1</v>
      </c>
      <c r="G24" s="327" t="s">
        <v>229</v>
      </c>
      <c r="H24" s="171">
        <f>'STEP 3 - SITE OPS'!I81</f>
        <v>0</v>
      </c>
      <c r="I24" s="136">
        <f t="shared" si="2"/>
        <v>0</v>
      </c>
      <c r="J24" s="137">
        <f t="shared" si="3"/>
        <v>0</v>
      </c>
      <c r="K24" s="137">
        <f t="shared" si="6"/>
        <v>0</v>
      </c>
      <c r="L24" s="73"/>
      <c r="N24" s="12"/>
      <c r="O24" s="29"/>
      <c r="P24" s="203"/>
      <c r="Q24" s="13"/>
      <c r="S24" s="2" t="b">
        <f>I24='STEP 3 - SITE OPS'!I82</f>
        <v>1</v>
      </c>
    </row>
    <row r="25" spans="1:19" ht="16.5" customHeight="1" thickBot="1">
      <c r="A25" s="7" t="s">
        <v>403</v>
      </c>
      <c r="B25" s="12"/>
      <c r="C25" s="78"/>
      <c r="D25" s="54"/>
      <c r="E25" s="54"/>
      <c r="F25" s="169"/>
      <c r="G25" s="56"/>
      <c r="H25" s="320"/>
      <c r="I25" s="57"/>
      <c r="J25" s="77"/>
      <c r="K25" s="77"/>
      <c r="L25" s="73"/>
      <c r="N25" s="12"/>
      <c r="O25" s="29"/>
      <c r="P25" s="203"/>
      <c r="Q25" s="13"/>
    </row>
    <row r="26" spans="1:19" ht="18" customHeight="1">
      <c r="A26" s="7" t="s">
        <v>403</v>
      </c>
      <c r="B26" s="12"/>
      <c r="C26" s="443" t="s">
        <v>413</v>
      </c>
      <c r="D26" s="444" t="s">
        <v>414</v>
      </c>
      <c r="E26" s="318">
        <f>SUM(I27:I52)</f>
        <v>0</v>
      </c>
      <c r="F26" s="178"/>
      <c r="G26" s="179"/>
      <c r="H26" s="180"/>
      <c r="I26" s="191"/>
      <c r="J26" s="192"/>
      <c r="K26" s="192"/>
      <c r="L26" s="73"/>
      <c r="N26" s="12"/>
      <c r="O26" s="204"/>
      <c r="P26" s="205"/>
      <c r="Q26" s="13"/>
    </row>
    <row r="27" spans="1:19">
      <c r="A27" s="7" t="s">
        <v>403</v>
      </c>
      <c r="B27" s="12"/>
      <c r="C27" s="79"/>
      <c r="D27" s="80"/>
      <c r="E27" s="54"/>
      <c r="F27" s="169"/>
      <c r="G27" s="56"/>
      <c r="H27" s="320"/>
      <c r="I27" s="57"/>
      <c r="J27" s="77"/>
      <c r="K27" s="77"/>
      <c r="L27" s="73"/>
      <c r="N27" s="12"/>
      <c r="O27" s="29"/>
      <c r="P27" s="203"/>
      <c r="Q27" s="13"/>
    </row>
    <row r="28" spans="1:19">
      <c r="B28" s="12"/>
      <c r="C28" s="79"/>
      <c r="D28" s="80" t="s">
        <v>414</v>
      </c>
      <c r="E28" s="54"/>
      <c r="F28" s="169"/>
      <c r="G28" s="56"/>
      <c r="H28" s="320"/>
      <c r="I28" s="57"/>
      <c r="J28" s="77"/>
      <c r="K28" s="77"/>
      <c r="L28" s="73"/>
      <c r="N28" s="12"/>
      <c r="O28" s="28"/>
      <c r="P28" s="203"/>
      <c r="Q28" s="13"/>
    </row>
    <row r="29" spans="1:19">
      <c r="B29" s="12"/>
      <c r="C29" s="53" t="s">
        <v>1193</v>
      </c>
      <c r="D29" s="54" t="s">
        <v>415</v>
      </c>
      <c r="E29" s="54"/>
      <c r="F29" s="169">
        <v>0</v>
      </c>
      <c r="G29" s="56" t="s">
        <v>229</v>
      </c>
      <c r="H29" s="320">
        <v>1</v>
      </c>
      <c r="I29" s="136">
        <f t="shared" ref="I29:I40" si="8">IF(ISNUMBER(F29), F29 * H29, 0)</f>
        <v>0</v>
      </c>
      <c r="J29" s="137">
        <f t="shared" ref="J29:J40" si="9">IF($J$8=0, 0, I29/$J$8)</f>
        <v>0</v>
      </c>
      <c r="K29" s="137">
        <f t="shared" ref="K29:K83" si="10">IF($K$8=0, 0, I29/$K$8)</f>
        <v>0</v>
      </c>
      <c r="L29" s="73"/>
      <c r="N29" s="12"/>
      <c r="O29" s="28"/>
      <c r="P29" s="203"/>
      <c r="Q29" s="13"/>
    </row>
    <row r="30" spans="1:19">
      <c r="B30" s="12"/>
      <c r="C30" s="53" t="s">
        <v>1194</v>
      </c>
      <c r="D30" s="54" t="s">
        <v>416</v>
      </c>
      <c r="E30" s="54"/>
      <c r="F30" s="169">
        <v>0</v>
      </c>
      <c r="G30" s="56" t="s">
        <v>417</v>
      </c>
      <c r="H30" s="320">
        <v>575</v>
      </c>
      <c r="I30" s="136">
        <f t="shared" si="8"/>
        <v>0</v>
      </c>
      <c r="J30" s="137">
        <f t="shared" si="9"/>
        <v>0</v>
      </c>
      <c r="K30" s="137">
        <f t="shared" ref="K30" si="11">IF($K$8=0, 0, I30/$K$8)</f>
        <v>0</v>
      </c>
      <c r="L30" s="73"/>
      <c r="N30" s="12"/>
      <c r="O30" s="29"/>
      <c r="P30" s="203"/>
      <c r="Q30" s="13"/>
    </row>
    <row r="31" spans="1:19">
      <c r="B31" s="12"/>
      <c r="C31" s="53" t="s">
        <v>1195</v>
      </c>
      <c r="D31" s="54" t="s">
        <v>140</v>
      </c>
      <c r="E31" s="54"/>
      <c r="F31" s="169">
        <v>0</v>
      </c>
      <c r="G31" s="56" t="s">
        <v>141</v>
      </c>
      <c r="H31" s="320">
        <v>55</v>
      </c>
      <c r="I31" s="136">
        <f t="shared" si="8"/>
        <v>0</v>
      </c>
      <c r="J31" s="137">
        <f t="shared" si="9"/>
        <v>0</v>
      </c>
      <c r="K31" s="137">
        <f t="shared" si="10"/>
        <v>0</v>
      </c>
      <c r="L31" s="73"/>
      <c r="N31" s="12"/>
      <c r="O31" s="29"/>
      <c r="P31" s="203"/>
      <c r="Q31" s="13"/>
    </row>
    <row r="32" spans="1:19">
      <c r="B32" s="12"/>
      <c r="C32" s="53" t="s">
        <v>1196</v>
      </c>
      <c r="D32" s="54" t="s">
        <v>143</v>
      </c>
      <c r="E32" s="54"/>
      <c r="F32" s="169">
        <v>0</v>
      </c>
      <c r="G32" s="56" t="s">
        <v>144</v>
      </c>
      <c r="H32" s="320">
        <v>4000</v>
      </c>
      <c r="I32" s="136">
        <f t="shared" si="8"/>
        <v>0</v>
      </c>
      <c r="J32" s="137">
        <f t="shared" si="9"/>
        <v>0</v>
      </c>
      <c r="K32" s="137">
        <f t="shared" si="10"/>
        <v>0</v>
      </c>
      <c r="L32" s="73"/>
      <c r="N32" s="12"/>
      <c r="O32" s="29"/>
      <c r="P32" s="203"/>
      <c r="Q32" s="13"/>
    </row>
    <row r="33" spans="1:17">
      <c r="B33" s="12"/>
      <c r="C33" s="53" t="s">
        <v>1197</v>
      </c>
      <c r="D33" s="54" t="s">
        <v>145</v>
      </c>
      <c r="E33" s="54"/>
      <c r="F33" s="169">
        <v>0</v>
      </c>
      <c r="G33" s="56" t="s">
        <v>146</v>
      </c>
      <c r="H33" s="320">
        <v>33</v>
      </c>
      <c r="I33" s="136">
        <f t="shared" si="8"/>
        <v>0</v>
      </c>
      <c r="J33" s="137">
        <f t="shared" si="9"/>
        <v>0</v>
      </c>
      <c r="K33" s="137">
        <f t="shared" ref="K33" si="12">IF($K$8=0, 0, I33/$K$8)</f>
        <v>0</v>
      </c>
      <c r="L33" s="73"/>
      <c r="N33" s="12"/>
      <c r="O33" s="29"/>
      <c r="P33" s="203"/>
      <c r="Q33" s="13"/>
    </row>
    <row r="34" spans="1:17">
      <c r="B34" s="12"/>
      <c r="C34" s="53" t="s">
        <v>1198</v>
      </c>
      <c r="D34" s="54" t="s">
        <v>418</v>
      </c>
      <c r="E34" s="54"/>
      <c r="F34" s="169">
        <v>0</v>
      </c>
      <c r="G34" s="56" t="s">
        <v>144</v>
      </c>
      <c r="H34" s="320">
        <v>1000</v>
      </c>
      <c r="I34" s="136">
        <f t="shared" si="8"/>
        <v>0</v>
      </c>
      <c r="J34" s="137">
        <f t="shared" si="9"/>
        <v>0</v>
      </c>
      <c r="K34" s="137">
        <f t="shared" si="10"/>
        <v>0</v>
      </c>
      <c r="L34" s="73"/>
      <c r="N34" s="12"/>
      <c r="O34" s="29"/>
      <c r="P34" s="203"/>
      <c r="Q34" s="13"/>
    </row>
    <row r="35" spans="1:17">
      <c r="B35" s="12"/>
      <c r="C35" s="53" t="s">
        <v>1199</v>
      </c>
      <c r="D35" s="54" t="s">
        <v>148</v>
      </c>
      <c r="E35" s="54"/>
      <c r="F35" s="169">
        <v>0</v>
      </c>
      <c r="G35" s="56" t="s">
        <v>146</v>
      </c>
      <c r="H35" s="320">
        <v>7</v>
      </c>
      <c r="I35" s="136">
        <f t="shared" si="8"/>
        <v>0</v>
      </c>
      <c r="J35" s="137">
        <f t="shared" si="9"/>
        <v>0</v>
      </c>
      <c r="K35" s="137">
        <f t="shared" si="10"/>
        <v>0</v>
      </c>
      <c r="L35" s="73"/>
      <c r="N35" s="12"/>
      <c r="O35" s="29"/>
      <c r="P35" s="203"/>
      <c r="Q35" s="13"/>
    </row>
    <row r="36" spans="1:17">
      <c r="B36" s="12"/>
      <c r="C36" s="53" t="s">
        <v>1200</v>
      </c>
      <c r="D36" s="54" t="s">
        <v>419</v>
      </c>
      <c r="E36" s="54"/>
      <c r="F36" s="169">
        <v>0</v>
      </c>
      <c r="G36" s="56" t="s">
        <v>146</v>
      </c>
      <c r="H36" s="320">
        <v>2</v>
      </c>
      <c r="I36" s="136">
        <f t="shared" si="8"/>
        <v>0</v>
      </c>
      <c r="J36" s="137">
        <f t="shared" si="9"/>
        <v>0</v>
      </c>
      <c r="K36" s="137">
        <f t="shared" ref="K36" si="13">IF($K$8=0, 0, I36/$K$8)</f>
        <v>0</v>
      </c>
      <c r="L36" s="73"/>
      <c r="N36" s="12"/>
      <c r="O36" s="29"/>
      <c r="P36" s="203"/>
      <c r="Q36" s="13"/>
    </row>
    <row r="37" spans="1:17">
      <c r="B37" s="12"/>
      <c r="C37" s="53" t="s">
        <v>1192</v>
      </c>
      <c r="D37" s="54" t="s">
        <v>420</v>
      </c>
      <c r="E37" s="54"/>
      <c r="F37" s="169">
        <v>0</v>
      </c>
      <c r="G37" s="56" t="s">
        <v>146</v>
      </c>
      <c r="H37" s="320">
        <v>6</v>
      </c>
      <c r="I37" s="136">
        <f t="shared" si="8"/>
        <v>0</v>
      </c>
      <c r="J37" s="137">
        <f t="shared" si="9"/>
        <v>0</v>
      </c>
      <c r="K37" s="137">
        <f t="shared" si="10"/>
        <v>0</v>
      </c>
      <c r="L37" s="73"/>
      <c r="N37" s="12"/>
      <c r="O37" s="29"/>
      <c r="P37" s="203"/>
      <c r="Q37" s="13"/>
    </row>
    <row r="38" spans="1:17">
      <c r="B38" s="12"/>
      <c r="C38" s="53" t="s">
        <v>1201</v>
      </c>
      <c r="D38" s="54" t="s">
        <v>421</v>
      </c>
      <c r="E38" s="54"/>
      <c r="F38" s="169">
        <v>0</v>
      </c>
      <c r="G38" s="56" t="s">
        <v>146</v>
      </c>
      <c r="H38" s="320">
        <v>6</v>
      </c>
      <c r="I38" s="136">
        <f t="shared" si="8"/>
        <v>0</v>
      </c>
      <c r="J38" s="137">
        <f t="shared" si="9"/>
        <v>0</v>
      </c>
      <c r="K38" s="137">
        <f t="shared" si="10"/>
        <v>0</v>
      </c>
      <c r="L38" s="73"/>
      <c r="N38" s="12"/>
      <c r="O38" s="29"/>
      <c r="P38" s="203"/>
      <c r="Q38" s="13"/>
    </row>
    <row r="39" spans="1:17">
      <c r="B39" s="12"/>
      <c r="C39" s="53" t="s">
        <v>1202</v>
      </c>
      <c r="D39" s="54" t="s">
        <v>422</v>
      </c>
      <c r="E39" s="54"/>
      <c r="F39" s="169">
        <v>0</v>
      </c>
      <c r="G39" s="56" t="s">
        <v>417</v>
      </c>
      <c r="H39" s="320">
        <v>400</v>
      </c>
      <c r="I39" s="136">
        <f t="shared" si="8"/>
        <v>0</v>
      </c>
      <c r="J39" s="137">
        <f t="shared" si="9"/>
        <v>0</v>
      </c>
      <c r="K39" s="137">
        <f t="shared" si="10"/>
        <v>0</v>
      </c>
      <c r="L39" s="73"/>
      <c r="N39" s="12"/>
      <c r="O39" s="29"/>
      <c r="P39" s="203"/>
      <c r="Q39" s="13"/>
    </row>
    <row r="40" spans="1:17">
      <c r="B40" s="12"/>
      <c r="C40" s="53" t="s">
        <v>1203</v>
      </c>
      <c r="D40" s="54" t="s">
        <v>423</v>
      </c>
      <c r="E40" s="54"/>
      <c r="F40" s="169">
        <v>0</v>
      </c>
      <c r="G40" s="56" t="s">
        <v>146</v>
      </c>
      <c r="H40" s="320">
        <v>7</v>
      </c>
      <c r="I40" s="136">
        <f t="shared" si="8"/>
        <v>0</v>
      </c>
      <c r="J40" s="137">
        <f t="shared" si="9"/>
        <v>0</v>
      </c>
      <c r="K40" s="137">
        <f t="shared" si="10"/>
        <v>0</v>
      </c>
      <c r="L40" s="73"/>
      <c r="N40" s="12"/>
      <c r="O40" s="29"/>
      <c r="P40" s="203"/>
      <c r="Q40" s="13"/>
    </row>
    <row r="41" spans="1:17">
      <c r="B41" s="12"/>
      <c r="C41" s="79"/>
      <c r="D41" s="54"/>
      <c r="E41" s="54"/>
      <c r="F41" s="169"/>
      <c r="G41" s="56"/>
      <c r="H41" s="320"/>
      <c r="I41" s="57"/>
      <c r="J41" s="77"/>
      <c r="K41" s="77"/>
      <c r="L41" s="73"/>
      <c r="N41" s="12"/>
      <c r="O41" s="29"/>
      <c r="P41" s="203"/>
      <c r="Q41" s="13"/>
    </row>
    <row r="42" spans="1:17">
      <c r="A42" s="7" t="s">
        <v>403</v>
      </c>
      <c r="B42" s="12"/>
      <c r="C42" s="79"/>
      <c r="D42" s="80" t="s">
        <v>424</v>
      </c>
      <c r="E42" s="54"/>
      <c r="F42" s="169"/>
      <c r="G42" s="56"/>
      <c r="H42" s="320"/>
      <c r="I42" s="57"/>
      <c r="J42" s="77"/>
      <c r="K42" s="77"/>
      <c r="L42" s="73"/>
      <c r="N42" s="12"/>
      <c r="O42" s="29"/>
      <c r="P42" s="203"/>
      <c r="Q42" s="13"/>
    </row>
    <row r="43" spans="1:17">
      <c r="A43" s="7" t="s">
        <v>403</v>
      </c>
      <c r="B43" s="12"/>
      <c r="C43" s="53" t="s">
        <v>1216</v>
      </c>
      <c r="D43" s="54" t="s">
        <v>425</v>
      </c>
      <c r="E43" s="54"/>
      <c r="F43" s="169">
        <v>0</v>
      </c>
      <c r="G43" s="56" t="s">
        <v>146</v>
      </c>
      <c r="H43" s="320">
        <v>4</v>
      </c>
      <c r="I43" s="136">
        <f t="shared" ref="I43" si="14">IF(ISNUMBER(F43), F43 * H43, 0)</f>
        <v>0</v>
      </c>
      <c r="J43" s="137">
        <f>IF($J$8=0, 0, I43/$J$8)</f>
        <v>0</v>
      </c>
      <c r="K43" s="137">
        <f t="shared" si="10"/>
        <v>0</v>
      </c>
      <c r="L43" s="73"/>
      <c r="N43" s="12"/>
      <c r="O43" s="29"/>
      <c r="P43" s="203"/>
      <c r="Q43" s="13"/>
    </row>
    <row r="44" spans="1:17">
      <c r="B44" s="12"/>
      <c r="C44" s="79"/>
      <c r="D44" s="54"/>
      <c r="E44" s="54"/>
      <c r="F44" s="169"/>
      <c r="G44" s="56"/>
      <c r="H44" s="320"/>
      <c r="I44" s="57"/>
      <c r="J44" s="77"/>
      <c r="K44" s="77"/>
      <c r="L44" s="73"/>
      <c r="N44" s="12"/>
      <c r="O44" s="29"/>
      <c r="P44" s="203"/>
      <c r="Q44" s="13"/>
    </row>
    <row r="45" spans="1:17">
      <c r="B45" s="12"/>
      <c r="C45" s="79"/>
      <c r="D45" s="80" t="s">
        <v>426</v>
      </c>
      <c r="E45" s="54"/>
      <c r="F45" s="169"/>
      <c r="G45" s="56"/>
      <c r="H45" s="320"/>
      <c r="I45" s="57"/>
      <c r="J45" s="77"/>
      <c r="K45" s="77"/>
      <c r="L45" s="73"/>
      <c r="N45" s="12"/>
      <c r="O45" s="29"/>
      <c r="P45" s="203"/>
      <c r="Q45" s="13"/>
    </row>
    <row r="46" spans="1:17">
      <c r="B46" s="12"/>
      <c r="C46" s="53" t="s">
        <v>1217</v>
      </c>
      <c r="D46" s="54" t="s">
        <v>153</v>
      </c>
      <c r="E46" s="54"/>
      <c r="F46" s="169">
        <v>0</v>
      </c>
      <c r="G46" s="56" t="s">
        <v>146</v>
      </c>
      <c r="H46" s="320">
        <v>32</v>
      </c>
      <c r="I46" s="136">
        <f t="shared" ref="I46:I47" si="15">IF(ISNUMBER(F46), F46 * H46, 0)</f>
        <v>0</v>
      </c>
      <c r="J46" s="137">
        <f t="shared" ref="J46:J47" si="16">IF($J$8=0, 0, I46/$J$8)</f>
        <v>0</v>
      </c>
      <c r="K46" s="137">
        <f t="shared" si="10"/>
        <v>0</v>
      </c>
      <c r="L46" s="73"/>
      <c r="N46" s="12"/>
      <c r="O46" s="29"/>
      <c r="P46" s="203"/>
      <c r="Q46" s="13"/>
    </row>
    <row r="47" spans="1:17">
      <c r="B47" s="12"/>
      <c r="C47" s="53" t="s">
        <v>1218</v>
      </c>
      <c r="D47" s="54" t="s">
        <v>427</v>
      </c>
      <c r="E47" s="54"/>
      <c r="F47" s="169">
        <v>0</v>
      </c>
      <c r="G47" s="56" t="s">
        <v>146</v>
      </c>
      <c r="H47" s="320">
        <v>55</v>
      </c>
      <c r="I47" s="136">
        <f t="shared" si="15"/>
        <v>0</v>
      </c>
      <c r="J47" s="137">
        <f t="shared" si="16"/>
        <v>0</v>
      </c>
      <c r="K47" s="137">
        <f t="shared" si="10"/>
        <v>0</v>
      </c>
      <c r="L47" s="73"/>
      <c r="N47" s="12"/>
      <c r="O47" s="29"/>
      <c r="P47" s="203"/>
      <c r="Q47" s="13"/>
    </row>
    <row r="48" spans="1:17">
      <c r="B48" s="12"/>
      <c r="C48" s="79"/>
      <c r="D48" s="54"/>
      <c r="E48" s="54"/>
      <c r="F48" s="169"/>
      <c r="G48" s="56"/>
      <c r="H48" s="320"/>
      <c r="I48" s="57"/>
      <c r="J48" s="77"/>
      <c r="K48" s="77"/>
      <c r="L48" s="73"/>
      <c r="N48" s="12"/>
      <c r="O48" s="29"/>
      <c r="P48" s="203"/>
      <c r="Q48" s="13"/>
    </row>
    <row r="49" spans="1:17">
      <c r="B49" s="12"/>
      <c r="C49" s="79"/>
      <c r="D49" s="80" t="s">
        <v>428</v>
      </c>
      <c r="E49" s="54"/>
      <c r="F49" s="169"/>
      <c r="G49" s="56"/>
      <c r="H49" s="320"/>
      <c r="I49" s="57"/>
      <c r="J49" s="77"/>
      <c r="K49" s="77"/>
      <c r="L49" s="73"/>
      <c r="N49" s="12"/>
      <c r="O49" s="29"/>
      <c r="P49" s="203"/>
      <c r="Q49" s="13"/>
    </row>
    <row r="50" spans="1:17">
      <c r="B50" s="12"/>
      <c r="C50" s="53" t="s">
        <v>1219</v>
      </c>
      <c r="D50" s="54" t="s">
        <v>157</v>
      </c>
      <c r="E50" s="54"/>
      <c r="F50" s="169">
        <v>0</v>
      </c>
      <c r="G50" s="56" t="s">
        <v>146</v>
      </c>
      <c r="H50" s="320">
        <v>2</v>
      </c>
      <c r="I50" s="136">
        <f t="shared" ref="I50:I51" si="17">IF(ISNUMBER(F50), F50 * H50, 0)</f>
        <v>0</v>
      </c>
      <c r="J50" s="137">
        <f t="shared" ref="J50:J51" si="18">IF($J$8=0, 0, I50/$J$8)</f>
        <v>0</v>
      </c>
      <c r="K50" s="137">
        <f t="shared" si="10"/>
        <v>0</v>
      </c>
      <c r="L50" s="73"/>
      <c r="N50" s="12"/>
      <c r="O50" s="29"/>
      <c r="P50" s="203"/>
      <c r="Q50" s="13"/>
    </row>
    <row r="51" spans="1:17">
      <c r="B51" s="12"/>
      <c r="C51" s="53" t="s">
        <v>1220</v>
      </c>
      <c r="D51" s="54" t="s">
        <v>429</v>
      </c>
      <c r="E51" s="54"/>
      <c r="F51" s="169">
        <v>0</v>
      </c>
      <c r="G51" s="56" t="s">
        <v>146</v>
      </c>
      <c r="H51" s="320">
        <f>-H50</f>
        <v>-2</v>
      </c>
      <c r="I51" s="136">
        <f t="shared" si="17"/>
        <v>0</v>
      </c>
      <c r="J51" s="137">
        <f t="shared" si="18"/>
        <v>0</v>
      </c>
      <c r="K51" s="137">
        <f t="shared" si="10"/>
        <v>0</v>
      </c>
      <c r="L51" s="73"/>
      <c r="N51" s="12"/>
      <c r="O51" s="29"/>
      <c r="P51" s="203"/>
      <c r="Q51" s="13"/>
    </row>
    <row r="52" spans="1:17" ht="14.25" thickBot="1">
      <c r="A52" s="7" t="s">
        <v>403</v>
      </c>
      <c r="B52" s="12"/>
      <c r="C52" s="79"/>
      <c r="D52" s="54"/>
      <c r="E52" s="54"/>
      <c r="F52" s="169"/>
      <c r="G52" s="56"/>
      <c r="H52" s="320"/>
      <c r="I52" s="57"/>
      <c r="J52" s="77"/>
      <c r="K52" s="77"/>
      <c r="L52" s="73"/>
      <c r="N52" s="12"/>
      <c r="O52" s="29"/>
      <c r="P52" s="203"/>
      <c r="Q52" s="13"/>
    </row>
    <row r="53" spans="1:17" ht="18" customHeight="1">
      <c r="A53" s="7" t="s">
        <v>403</v>
      </c>
      <c r="B53" s="12"/>
      <c r="C53" s="443" t="s">
        <v>430</v>
      </c>
      <c r="D53" s="444" t="s">
        <v>431</v>
      </c>
      <c r="E53" s="318">
        <f>SUM(I54:I62)</f>
        <v>0</v>
      </c>
      <c r="F53" s="178"/>
      <c r="G53" s="179"/>
      <c r="H53" s="180"/>
      <c r="I53" s="191"/>
      <c r="J53" s="192"/>
      <c r="K53" s="192"/>
      <c r="L53" s="73"/>
      <c r="N53" s="12"/>
      <c r="O53" s="204"/>
      <c r="P53" s="205"/>
      <c r="Q53" s="13"/>
    </row>
    <row r="54" spans="1:17">
      <c r="A54" s="7" t="s">
        <v>403</v>
      </c>
      <c r="B54" s="12"/>
      <c r="C54" s="79"/>
      <c r="D54" s="80"/>
      <c r="E54" s="54"/>
      <c r="F54" s="169"/>
      <c r="G54" s="56"/>
      <c r="H54" s="320"/>
      <c r="I54" s="57"/>
      <c r="J54" s="77"/>
      <c r="K54" s="77"/>
      <c r="L54" s="73"/>
      <c r="N54" s="12"/>
      <c r="O54" s="29"/>
      <c r="P54" s="203"/>
      <c r="Q54" s="13"/>
    </row>
    <row r="55" spans="1:17">
      <c r="B55" s="12"/>
      <c r="C55" s="53" t="s">
        <v>1204</v>
      </c>
      <c r="D55" s="54" t="s">
        <v>432</v>
      </c>
      <c r="E55" s="54"/>
      <c r="F55" s="169">
        <v>0</v>
      </c>
      <c r="G55" s="56" t="s">
        <v>229</v>
      </c>
      <c r="H55" s="320">
        <v>0</v>
      </c>
      <c r="I55" s="136">
        <f t="shared" ref="I55:I61" si="19">IF(ISNUMBER(F55), F55 * H55, 0)</f>
        <v>0</v>
      </c>
      <c r="J55" s="137">
        <f t="shared" ref="J55:J61" si="20">IF($J$8=0, 0, I55/$J$8)</f>
        <v>0</v>
      </c>
      <c r="K55" s="137">
        <f t="shared" ref="K55" si="21">IF($K$8=0, 0, I55/$K$8)</f>
        <v>0</v>
      </c>
      <c r="L55" s="73"/>
      <c r="N55" s="12"/>
      <c r="O55" s="29"/>
      <c r="P55" s="203"/>
      <c r="Q55" s="13"/>
    </row>
    <row r="56" spans="1:17">
      <c r="B56" s="12"/>
      <c r="C56" s="53" t="s">
        <v>1205</v>
      </c>
      <c r="D56" s="54" t="s">
        <v>433</v>
      </c>
      <c r="E56" s="54"/>
      <c r="F56" s="169">
        <v>0</v>
      </c>
      <c r="G56" s="56" t="s">
        <v>146</v>
      </c>
      <c r="H56" s="320">
        <v>25</v>
      </c>
      <c r="I56" s="136">
        <f t="shared" si="19"/>
        <v>0</v>
      </c>
      <c r="J56" s="137">
        <f t="shared" si="20"/>
        <v>0</v>
      </c>
      <c r="K56" s="137">
        <f t="shared" si="10"/>
        <v>0</v>
      </c>
      <c r="L56" s="73"/>
      <c r="N56" s="12"/>
      <c r="O56" s="29"/>
      <c r="P56" s="203"/>
      <c r="Q56" s="13"/>
    </row>
    <row r="57" spans="1:17">
      <c r="B57" s="12"/>
      <c r="C57" s="53" t="s">
        <v>1206</v>
      </c>
      <c r="D57" s="54" t="s">
        <v>434</v>
      </c>
      <c r="E57" s="54"/>
      <c r="F57" s="169">
        <v>0</v>
      </c>
      <c r="G57" s="56" t="s">
        <v>146</v>
      </c>
      <c r="H57" s="320">
        <v>25</v>
      </c>
      <c r="I57" s="136">
        <f t="shared" si="19"/>
        <v>0</v>
      </c>
      <c r="J57" s="137">
        <f t="shared" si="20"/>
        <v>0</v>
      </c>
      <c r="K57" s="137">
        <f>IF($K$8=0, 0, I57/$K$8)</f>
        <v>0</v>
      </c>
      <c r="L57" s="73"/>
      <c r="N57" s="12"/>
      <c r="O57" s="29"/>
      <c r="P57" s="203"/>
      <c r="Q57" s="13"/>
    </row>
    <row r="58" spans="1:17">
      <c r="B58" s="12"/>
      <c r="C58" s="53" t="s">
        <v>1207</v>
      </c>
      <c r="D58" s="54" t="s">
        <v>435</v>
      </c>
      <c r="E58" s="54"/>
      <c r="F58" s="169">
        <v>0</v>
      </c>
      <c r="G58" s="56" t="s">
        <v>146</v>
      </c>
      <c r="H58" s="320">
        <v>60</v>
      </c>
      <c r="I58" s="136">
        <f t="shared" si="19"/>
        <v>0</v>
      </c>
      <c r="J58" s="137">
        <f t="shared" si="20"/>
        <v>0</v>
      </c>
      <c r="K58" s="137">
        <f>IF($K$8=0, 0, I58/$K$8)</f>
        <v>0</v>
      </c>
      <c r="L58" s="73"/>
      <c r="N58" s="12"/>
      <c r="O58" s="29"/>
      <c r="P58" s="203"/>
      <c r="Q58" s="13"/>
    </row>
    <row r="59" spans="1:17">
      <c r="A59" s="7" t="s">
        <v>403</v>
      </c>
      <c r="B59" s="12"/>
      <c r="C59" s="53" t="s">
        <v>1208</v>
      </c>
      <c r="D59" s="54" t="s">
        <v>436</v>
      </c>
      <c r="E59" s="54"/>
      <c r="F59" s="169">
        <v>0</v>
      </c>
      <c r="G59" s="56" t="s">
        <v>146</v>
      </c>
      <c r="H59" s="320">
        <v>25</v>
      </c>
      <c r="I59" s="136">
        <f t="shared" si="19"/>
        <v>0</v>
      </c>
      <c r="J59" s="137">
        <f t="shared" si="20"/>
        <v>0</v>
      </c>
      <c r="K59" s="137">
        <f>IF($K$8=0, 0, I59/$K$8)</f>
        <v>0</v>
      </c>
      <c r="L59" s="73"/>
      <c r="N59" s="12"/>
      <c r="O59" s="29"/>
      <c r="P59" s="203"/>
      <c r="Q59" s="13"/>
    </row>
    <row r="60" spans="1:17">
      <c r="B60" s="12"/>
      <c r="C60" s="53" t="s">
        <v>1209</v>
      </c>
      <c r="D60" s="54" t="s">
        <v>437</v>
      </c>
      <c r="E60" s="54"/>
      <c r="F60" s="169">
        <v>0</v>
      </c>
      <c r="G60" s="56" t="s">
        <v>146</v>
      </c>
      <c r="H60" s="320">
        <v>95</v>
      </c>
      <c r="I60" s="136">
        <f t="shared" si="19"/>
        <v>0</v>
      </c>
      <c r="J60" s="137">
        <f t="shared" si="20"/>
        <v>0</v>
      </c>
      <c r="K60" s="137">
        <f t="shared" si="10"/>
        <v>0</v>
      </c>
      <c r="L60" s="73"/>
      <c r="N60" s="12"/>
      <c r="O60" s="29"/>
      <c r="P60" s="203"/>
      <c r="Q60" s="13"/>
    </row>
    <row r="61" spans="1:17">
      <c r="B61" s="12"/>
      <c r="C61" s="53" t="s">
        <v>1210</v>
      </c>
      <c r="D61" s="54" t="s">
        <v>438</v>
      </c>
      <c r="E61" s="54"/>
      <c r="F61" s="169">
        <v>0</v>
      </c>
      <c r="G61" s="56" t="s">
        <v>141</v>
      </c>
      <c r="H61" s="320">
        <v>50</v>
      </c>
      <c r="I61" s="136">
        <f t="shared" si="19"/>
        <v>0</v>
      </c>
      <c r="J61" s="137">
        <f t="shared" si="20"/>
        <v>0</v>
      </c>
      <c r="K61" s="137">
        <f t="shared" si="10"/>
        <v>0</v>
      </c>
      <c r="L61" s="73"/>
      <c r="N61" s="12"/>
      <c r="O61" s="29"/>
      <c r="P61" s="203"/>
      <c r="Q61" s="13"/>
    </row>
    <row r="62" spans="1:17" ht="14.25" thickBot="1">
      <c r="A62" s="7" t="s">
        <v>403</v>
      </c>
      <c r="B62" s="12"/>
      <c r="C62" s="79"/>
      <c r="D62" s="54"/>
      <c r="E62" s="54"/>
      <c r="F62" s="169"/>
      <c r="G62" s="56"/>
      <c r="H62" s="320"/>
      <c r="I62" s="57"/>
      <c r="J62" s="77"/>
      <c r="K62" s="77"/>
      <c r="L62" s="73"/>
      <c r="N62" s="12"/>
      <c r="O62" s="29"/>
      <c r="P62" s="203"/>
      <c r="Q62" s="13"/>
    </row>
    <row r="63" spans="1:17" ht="18" customHeight="1">
      <c r="A63" s="7" t="s">
        <v>403</v>
      </c>
      <c r="B63" s="12"/>
      <c r="C63" s="443" t="s">
        <v>439</v>
      </c>
      <c r="D63" s="444" t="s">
        <v>440</v>
      </c>
      <c r="E63" s="318">
        <f>SUM(I64:I72)</f>
        <v>0</v>
      </c>
      <c r="F63" s="178"/>
      <c r="G63" s="179"/>
      <c r="H63" s="180"/>
      <c r="I63" s="191"/>
      <c r="J63" s="192"/>
      <c r="K63" s="192"/>
      <c r="L63" s="73"/>
      <c r="N63" s="12"/>
      <c r="O63" s="204"/>
      <c r="P63" s="205"/>
      <c r="Q63" s="13"/>
    </row>
    <row r="64" spans="1:17">
      <c r="A64" s="7" t="s">
        <v>403</v>
      </c>
      <c r="B64" s="12"/>
      <c r="C64" s="79"/>
      <c r="D64" s="80"/>
      <c r="E64" s="54"/>
      <c r="F64" s="169"/>
      <c r="G64" s="56"/>
      <c r="H64" s="320"/>
      <c r="I64" s="57"/>
      <c r="J64" s="77"/>
      <c r="K64" s="77"/>
      <c r="L64" s="73"/>
      <c r="N64" s="12"/>
      <c r="O64" s="29"/>
      <c r="P64" s="203"/>
      <c r="Q64" s="13"/>
    </row>
    <row r="65" spans="1:17">
      <c r="B65" s="12"/>
      <c r="C65" s="53" t="s">
        <v>1211</v>
      </c>
      <c r="D65" s="54" t="s">
        <v>441</v>
      </c>
      <c r="E65" s="54"/>
      <c r="F65" s="169">
        <v>0</v>
      </c>
      <c r="G65" s="56" t="s">
        <v>146</v>
      </c>
      <c r="H65" s="320">
        <v>55</v>
      </c>
      <c r="I65" s="136">
        <f t="shared" ref="I65:I71" si="22">IF(ISNUMBER(F65), F65 * H65, 0)</f>
        <v>0</v>
      </c>
      <c r="J65" s="137">
        <f t="shared" ref="J65:J71" si="23">IF($J$8=0, 0, I65/$J$8)</f>
        <v>0</v>
      </c>
      <c r="K65" s="137">
        <f t="shared" si="10"/>
        <v>0</v>
      </c>
      <c r="L65" s="73"/>
      <c r="N65" s="12"/>
      <c r="O65" s="29"/>
      <c r="P65" s="203"/>
      <c r="Q65" s="13"/>
    </row>
    <row r="66" spans="1:17">
      <c r="A66" s="7" t="s">
        <v>403</v>
      </c>
      <c r="B66" s="12"/>
      <c r="C66" s="53" t="s">
        <v>1221</v>
      </c>
      <c r="D66" s="54" t="s">
        <v>442</v>
      </c>
      <c r="E66" s="54"/>
      <c r="F66" s="169">
        <v>0</v>
      </c>
      <c r="G66" s="56" t="s">
        <v>229</v>
      </c>
      <c r="H66" s="320">
        <v>10</v>
      </c>
      <c r="I66" s="136">
        <f t="shared" si="22"/>
        <v>0</v>
      </c>
      <c r="J66" s="137">
        <f t="shared" si="23"/>
        <v>0</v>
      </c>
      <c r="K66" s="137">
        <f t="shared" si="10"/>
        <v>0</v>
      </c>
      <c r="L66" s="73"/>
      <c r="N66" s="12"/>
      <c r="O66" s="29"/>
      <c r="P66" s="203"/>
      <c r="Q66" s="13"/>
    </row>
    <row r="67" spans="1:17">
      <c r="B67" s="12"/>
      <c r="C67" s="53" t="s">
        <v>1222</v>
      </c>
      <c r="D67" s="54" t="s">
        <v>443</v>
      </c>
      <c r="E67" s="54"/>
      <c r="F67" s="169">
        <v>0</v>
      </c>
      <c r="G67" s="56" t="s">
        <v>144</v>
      </c>
      <c r="H67" s="320">
        <v>3500</v>
      </c>
      <c r="I67" s="136">
        <f t="shared" si="22"/>
        <v>0</v>
      </c>
      <c r="J67" s="137">
        <f t="shared" si="23"/>
        <v>0</v>
      </c>
      <c r="K67" s="137">
        <f t="shared" si="10"/>
        <v>0</v>
      </c>
      <c r="L67" s="73"/>
      <c r="N67" s="12"/>
      <c r="O67" s="29"/>
      <c r="P67" s="203"/>
      <c r="Q67" s="13"/>
    </row>
    <row r="68" spans="1:17">
      <c r="B68" s="12"/>
      <c r="C68" s="53" t="s">
        <v>1223</v>
      </c>
      <c r="D68" s="54" t="s">
        <v>444</v>
      </c>
      <c r="E68" s="54"/>
      <c r="F68" s="169">
        <v>0</v>
      </c>
      <c r="G68" s="56" t="s">
        <v>144</v>
      </c>
      <c r="H68" s="320">
        <v>2400</v>
      </c>
      <c r="I68" s="136">
        <f t="shared" si="22"/>
        <v>0</v>
      </c>
      <c r="J68" s="137">
        <f t="shared" si="23"/>
        <v>0</v>
      </c>
      <c r="K68" s="137">
        <f t="shared" si="10"/>
        <v>0</v>
      </c>
      <c r="L68" s="73"/>
      <c r="N68" s="12"/>
      <c r="O68" s="29"/>
      <c r="P68" s="203"/>
      <c r="Q68" s="13"/>
    </row>
    <row r="69" spans="1:17">
      <c r="B69" s="12"/>
      <c r="C69" s="53" t="s">
        <v>1212</v>
      </c>
      <c r="D69" s="54" t="s">
        <v>445</v>
      </c>
      <c r="E69" s="54"/>
      <c r="F69" s="169">
        <v>0</v>
      </c>
      <c r="G69" s="56" t="s">
        <v>144</v>
      </c>
      <c r="H69" s="320">
        <v>1000</v>
      </c>
      <c r="I69" s="136">
        <f t="shared" si="22"/>
        <v>0</v>
      </c>
      <c r="J69" s="137">
        <f t="shared" si="23"/>
        <v>0</v>
      </c>
      <c r="K69" s="137">
        <f t="shared" si="10"/>
        <v>0</v>
      </c>
      <c r="L69" s="73"/>
      <c r="N69" s="12"/>
      <c r="O69" s="29"/>
      <c r="P69" s="203"/>
      <c r="Q69" s="13"/>
    </row>
    <row r="70" spans="1:17">
      <c r="B70" s="12"/>
      <c r="C70" s="53" t="s">
        <v>1213</v>
      </c>
      <c r="D70" s="54" t="s">
        <v>446</v>
      </c>
      <c r="E70" s="54"/>
      <c r="F70" s="169">
        <v>0</v>
      </c>
      <c r="G70" s="56" t="s">
        <v>141</v>
      </c>
      <c r="H70" s="320">
        <v>150</v>
      </c>
      <c r="I70" s="136">
        <f t="shared" si="22"/>
        <v>0</v>
      </c>
      <c r="J70" s="137">
        <f t="shared" si="23"/>
        <v>0</v>
      </c>
      <c r="K70" s="137">
        <f t="shared" si="10"/>
        <v>0</v>
      </c>
      <c r="L70" s="73"/>
      <c r="N70" s="12"/>
      <c r="O70" s="29"/>
      <c r="P70" s="203"/>
      <c r="Q70" s="13"/>
    </row>
    <row r="71" spans="1:17">
      <c r="B71" s="12"/>
      <c r="C71" s="53" t="s">
        <v>1214</v>
      </c>
      <c r="D71" s="54" t="s">
        <v>447</v>
      </c>
      <c r="E71" s="54"/>
      <c r="F71" s="169">
        <v>0</v>
      </c>
      <c r="G71" s="56" t="s">
        <v>144</v>
      </c>
      <c r="H71" s="320">
        <v>800</v>
      </c>
      <c r="I71" s="136">
        <f t="shared" si="22"/>
        <v>0</v>
      </c>
      <c r="J71" s="137">
        <f t="shared" si="23"/>
        <v>0</v>
      </c>
      <c r="K71" s="137">
        <f t="shared" si="10"/>
        <v>0</v>
      </c>
      <c r="L71" s="73"/>
      <c r="N71" s="12"/>
      <c r="O71" s="29"/>
      <c r="P71" s="203"/>
      <c r="Q71" s="13"/>
    </row>
    <row r="72" spans="1:17" ht="14.25" thickBot="1">
      <c r="A72" s="7" t="s">
        <v>403</v>
      </c>
      <c r="B72" s="12"/>
      <c r="C72" s="79"/>
      <c r="D72" s="54"/>
      <c r="E72" s="54"/>
      <c r="F72" s="169"/>
      <c r="G72" s="56"/>
      <c r="H72" s="320"/>
      <c r="I72" s="57"/>
      <c r="J72" s="77"/>
      <c r="K72" s="77"/>
      <c r="L72" s="73"/>
      <c r="N72" s="12"/>
      <c r="O72" s="29"/>
      <c r="P72" s="203"/>
      <c r="Q72" s="13"/>
    </row>
    <row r="73" spans="1:17" ht="18" customHeight="1">
      <c r="A73" s="7" t="s">
        <v>403</v>
      </c>
      <c r="B73" s="12"/>
      <c r="C73" s="443" t="s">
        <v>448</v>
      </c>
      <c r="D73" s="444"/>
      <c r="E73" s="318">
        <f>SUM(I74:I92)</f>
        <v>0</v>
      </c>
      <c r="F73" s="178"/>
      <c r="G73" s="179"/>
      <c r="H73" s="180"/>
      <c r="I73" s="191"/>
      <c r="J73" s="192"/>
      <c r="K73" s="192"/>
      <c r="L73" s="73"/>
      <c r="N73" s="12"/>
      <c r="O73" s="204"/>
      <c r="P73" s="205"/>
      <c r="Q73" s="13"/>
    </row>
    <row r="74" spans="1:17">
      <c r="A74" s="7" t="s">
        <v>403</v>
      </c>
      <c r="B74" s="12"/>
      <c r="C74" s="79"/>
      <c r="D74" s="80"/>
      <c r="E74" s="54"/>
      <c r="F74" s="169"/>
      <c r="G74" s="56"/>
      <c r="H74" s="320"/>
      <c r="I74" s="57"/>
      <c r="J74" s="77"/>
      <c r="K74" s="77"/>
      <c r="L74" s="73"/>
      <c r="N74" s="12"/>
      <c r="O74" s="29"/>
      <c r="P74" s="203"/>
      <c r="Q74" s="13"/>
    </row>
    <row r="75" spans="1:17">
      <c r="A75" s="7" t="s">
        <v>403</v>
      </c>
      <c r="B75" s="12"/>
      <c r="C75" s="79"/>
      <c r="D75" s="80" t="s">
        <v>449</v>
      </c>
      <c r="E75" s="54"/>
      <c r="F75" s="169"/>
      <c r="G75" s="56"/>
      <c r="H75" s="320"/>
      <c r="I75" s="57"/>
      <c r="J75" s="77"/>
      <c r="K75" s="77"/>
      <c r="L75" s="73"/>
      <c r="N75" s="12"/>
      <c r="O75" s="29"/>
      <c r="P75" s="203"/>
      <c r="Q75" s="13"/>
    </row>
    <row r="76" spans="1:17">
      <c r="A76" s="7" t="s">
        <v>403</v>
      </c>
      <c r="B76" s="12"/>
      <c r="C76" s="53" t="s">
        <v>1215</v>
      </c>
      <c r="D76" s="54" t="s">
        <v>450</v>
      </c>
      <c r="E76" s="54"/>
      <c r="F76" s="169">
        <v>0</v>
      </c>
      <c r="G76" s="56" t="s">
        <v>146</v>
      </c>
      <c r="H76" s="320">
        <v>13</v>
      </c>
      <c r="I76" s="136">
        <f t="shared" ref="I76:I87" si="24">IF(ISNUMBER(F76), F76 * H76, 0)</f>
        <v>0</v>
      </c>
      <c r="J76" s="137">
        <f t="shared" ref="J76:J87" si="25">IF($J$8=0, 0, I76/$J$8)</f>
        <v>0</v>
      </c>
      <c r="K76" s="137">
        <f t="shared" si="10"/>
        <v>0</v>
      </c>
      <c r="L76" s="73"/>
      <c r="N76" s="12"/>
      <c r="O76" s="29"/>
      <c r="P76" s="203"/>
      <c r="Q76" s="13"/>
    </row>
    <row r="77" spans="1:17">
      <c r="A77" s="7" t="s">
        <v>403</v>
      </c>
      <c r="B77" s="12"/>
      <c r="C77" s="53" t="s">
        <v>1224</v>
      </c>
      <c r="D77" s="54" t="s">
        <v>451</v>
      </c>
      <c r="E77" s="54"/>
      <c r="F77" s="169">
        <v>0</v>
      </c>
      <c r="G77" s="56" t="s">
        <v>146</v>
      </c>
      <c r="H77" s="320">
        <v>7</v>
      </c>
      <c r="I77" s="136">
        <f t="shared" si="24"/>
        <v>0</v>
      </c>
      <c r="J77" s="137">
        <f t="shared" si="25"/>
        <v>0</v>
      </c>
      <c r="K77" s="137">
        <f t="shared" si="10"/>
        <v>0</v>
      </c>
      <c r="L77" s="73"/>
      <c r="N77" s="12"/>
      <c r="O77" s="29"/>
      <c r="P77" s="203"/>
      <c r="Q77" s="13"/>
    </row>
    <row r="78" spans="1:17">
      <c r="B78" s="12"/>
      <c r="C78" s="53" t="s">
        <v>1225</v>
      </c>
      <c r="D78" s="54" t="s">
        <v>452</v>
      </c>
      <c r="E78" s="54"/>
      <c r="F78" s="169">
        <v>0</v>
      </c>
      <c r="G78" s="56" t="s">
        <v>229</v>
      </c>
      <c r="H78" s="320">
        <v>1E-3</v>
      </c>
      <c r="I78" s="136">
        <f t="shared" si="24"/>
        <v>0</v>
      </c>
      <c r="J78" s="137">
        <f t="shared" si="25"/>
        <v>0</v>
      </c>
      <c r="K78" s="137">
        <f t="shared" si="10"/>
        <v>0</v>
      </c>
      <c r="L78" s="73"/>
      <c r="N78" s="12"/>
      <c r="O78" s="29"/>
      <c r="P78" s="203"/>
      <c r="Q78" s="13"/>
    </row>
    <row r="79" spans="1:17">
      <c r="B79" s="12"/>
      <c r="C79" s="53" t="s">
        <v>1226</v>
      </c>
      <c r="D79" s="54" t="s">
        <v>453</v>
      </c>
      <c r="E79" s="54"/>
      <c r="F79" s="169">
        <v>0</v>
      </c>
      <c r="G79" s="56" t="s">
        <v>229</v>
      </c>
      <c r="H79" s="320">
        <v>1E-3</v>
      </c>
      <c r="I79" s="136">
        <f t="shared" si="24"/>
        <v>0</v>
      </c>
      <c r="J79" s="137">
        <f t="shared" si="25"/>
        <v>0</v>
      </c>
      <c r="K79" s="137">
        <f t="shared" si="10"/>
        <v>0</v>
      </c>
      <c r="L79" s="73"/>
      <c r="N79" s="12"/>
      <c r="O79" s="29"/>
      <c r="P79" s="203"/>
      <c r="Q79" s="13"/>
    </row>
    <row r="80" spans="1:17">
      <c r="B80" s="12"/>
      <c r="C80" s="53" t="s">
        <v>1227</v>
      </c>
      <c r="D80" s="54" t="s">
        <v>454</v>
      </c>
      <c r="E80" s="54"/>
      <c r="F80" s="169">
        <v>0</v>
      </c>
      <c r="G80" s="56" t="s">
        <v>229</v>
      </c>
      <c r="H80" s="320">
        <v>0</v>
      </c>
      <c r="I80" s="136">
        <f t="shared" si="24"/>
        <v>0</v>
      </c>
      <c r="J80" s="137">
        <f t="shared" si="25"/>
        <v>0</v>
      </c>
      <c r="K80" s="137">
        <f t="shared" si="10"/>
        <v>0</v>
      </c>
      <c r="L80" s="73"/>
      <c r="N80" s="12"/>
      <c r="O80" s="29"/>
      <c r="P80" s="203"/>
      <c r="Q80" s="13"/>
    </row>
    <row r="81" spans="1:17">
      <c r="A81" s="7" t="s">
        <v>403</v>
      </c>
      <c r="B81" s="12"/>
      <c r="C81" s="53" t="s">
        <v>1228</v>
      </c>
      <c r="D81" s="54" t="s">
        <v>455</v>
      </c>
      <c r="E81" s="54"/>
      <c r="F81" s="169">
        <v>0</v>
      </c>
      <c r="G81" s="56" t="s">
        <v>144</v>
      </c>
      <c r="H81" s="320">
        <v>3600</v>
      </c>
      <c r="I81" s="136">
        <f t="shared" ref="I81" si="26">IF(ISNUMBER(F81), F81 * H81, 0)</f>
        <v>0</v>
      </c>
      <c r="J81" s="137">
        <f t="shared" ref="J81" si="27">IF($J$8=0, 0, I81/$J$8)</f>
        <v>0</v>
      </c>
      <c r="K81" s="137">
        <f t="shared" ref="K81" si="28">IF($K$8=0, 0, I81/$K$8)</f>
        <v>0</v>
      </c>
      <c r="L81" s="73"/>
      <c r="N81" s="12"/>
      <c r="O81" s="29"/>
      <c r="P81" s="203"/>
      <c r="Q81" s="13"/>
    </row>
    <row r="82" spans="1:17">
      <c r="A82" s="7" t="s">
        <v>403</v>
      </c>
      <c r="B82" s="12"/>
      <c r="C82" s="53" t="s">
        <v>1229</v>
      </c>
      <c r="D82" s="54" t="s">
        <v>456</v>
      </c>
      <c r="E82" s="54"/>
      <c r="F82" s="169">
        <v>0</v>
      </c>
      <c r="G82" s="56" t="s">
        <v>144</v>
      </c>
      <c r="H82" s="320">
        <v>450</v>
      </c>
      <c r="I82" s="136">
        <f t="shared" si="24"/>
        <v>0</v>
      </c>
      <c r="J82" s="137">
        <f t="shared" si="25"/>
        <v>0</v>
      </c>
      <c r="K82" s="137">
        <f t="shared" si="10"/>
        <v>0</v>
      </c>
      <c r="L82" s="73"/>
      <c r="N82" s="12"/>
      <c r="O82" s="29"/>
      <c r="P82" s="203"/>
      <c r="Q82" s="13"/>
    </row>
    <row r="83" spans="1:17">
      <c r="A83" s="7" t="s">
        <v>403</v>
      </c>
      <c r="B83" s="12"/>
      <c r="C83" s="53" t="s">
        <v>1230</v>
      </c>
      <c r="D83" s="54" t="s">
        <v>457</v>
      </c>
      <c r="E83" s="54"/>
      <c r="F83" s="169">
        <v>0</v>
      </c>
      <c r="G83" s="56" t="s">
        <v>144</v>
      </c>
      <c r="H83" s="320">
        <v>986</v>
      </c>
      <c r="I83" s="136">
        <f t="shared" si="24"/>
        <v>0</v>
      </c>
      <c r="J83" s="137">
        <f t="shared" si="25"/>
        <v>0</v>
      </c>
      <c r="K83" s="137">
        <f t="shared" si="10"/>
        <v>0</v>
      </c>
      <c r="L83" s="73"/>
      <c r="N83" s="12"/>
      <c r="O83" s="29"/>
      <c r="P83" s="203"/>
      <c r="Q83" s="13"/>
    </row>
    <row r="84" spans="1:17">
      <c r="A84" s="7" t="s">
        <v>403</v>
      </c>
      <c r="B84" s="12"/>
      <c r="C84" s="53" t="s">
        <v>1231</v>
      </c>
      <c r="D84" s="54" t="s">
        <v>458</v>
      </c>
      <c r="E84" s="54"/>
      <c r="F84" s="169">
        <v>0</v>
      </c>
      <c r="G84" s="56" t="s">
        <v>229</v>
      </c>
      <c r="H84" s="320">
        <v>0</v>
      </c>
      <c r="I84" s="136">
        <f t="shared" si="24"/>
        <v>0</v>
      </c>
      <c r="J84" s="137">
        <f t="shared" si="25"/>
        <v>0</v>
      </c>
      <c r="K84" s="137">
        <f t="shared" ref="K84:K136" si="29">IF($K$8=0, 0, I84/$K$8)</f>
        <v>0</v>
      </c>
      <c r="L84" s="73"/>
      <c r="N84" s="12"/>
      <c r="O84" s="29"/>
      <c r="P84" s="203"/>
      <c r="Q84" s="13"/>
    </row>
    <row r="85" spans="1:17">
      <c r="A85" s="7" t="s">
        <v>403</v>
      </c>
      <c r="B85" s="12"/>
      <c r="C85" s="53" t="s">
        <v>1232</v>
      </c>
      <c r="D85" s="54" t="s">
        <v>459</v>
      </c>
      <c r="E85" s="54"/>
      <c r="F85" s="169">
        <v>0</v>
      </c>
      <c r="G85" s="56" t="s">
        <v>229</v>
      </c>
      <c r="H85" s="320">
        <v>0</v>
      </c>
      <c r="I85" s="136">
        <f t="shared" si="24"/>
        <v>0</v>
      </c>
      <c r="J85" s="137">
        <f t="shared" si="25"/>
        <v>0</v>
      </c>
      <c r="K85" s="137">
        <f t="shared" si="29"/>
        <v>0</v>
      </c>
      <c r="L85" s="73"/>
      <c r="N85" s="12"/>
      <c r="O85" s="29"/>
      <c r="P85" s="203"/>
      <c r="Q85" s="13"/>
    </row>
    <row r="86" spans="1:17">
      <c r="A86" s="7" t="s">
        <v>403</v>
      </c>
      <c r="B86" s="12"/>
      <c r="C86" s="53" t="s">
        <v>1233</v>
      </c>
      <c r="D86" s="54" t="s">
        <v>460</v>
      </c>
      <c r="E86" s="54"/>
      <c r="F86" s="169">
        <v>0</v>
      </c>
      <c r="G86" s="56" t="s">
        <v>229</v>
      </c>
      <c r="H86" s="320">
        <v>0</v>
      </c>
      <c r="I86" s="136">
        <f t="shared" si="24"/>
        <v>0</v>
      </c>
      <c r="J86" s="137">
        <f t="shared" si="25"/>
        <v>0</v>
      </c>
      <c r="K86" s="137">
        <f t="shared" si="29"/>
        <v>0</v>
      </c>
      <c r="L86" s="73"/>
      <c r="N86" s="12"/>
      <c r="O86" s="29"/>
      <c r="P86" s="203"/>
      <c r="Q86" s="13"/>
    </row>
    <row r="87" spans="1:17">
      <c r="A87" s="7" t="s">
        <v>403</v>
      </c>
      <c r="B87" s="12"/>
      <c r="C87" s="53" t="s">
        <v>1234</v>
      </c>
      <c r="D87" s="54" t="s">
        <v>461</v>
      </c>
      <c r="E87" s="54"/>
      <c r="F87" s="169">
        <v>0</v>
      </c>
      <c r="G87" s="56" t="s">
        <v>229</v>
      </c>
      <c r="H87" s="320">
        <v>0</v>
      </c>
      <c r="I87" s="136">
        <f t="shared" si="24"/>
        <v>0</v>
      </c>
      <c r="J87" s="137">
        <f t="shared" si="25"/>
        <v>0</v>
      </c>
      <c r="K87" s="137">
        <f t="shared" si="29"/>
        <v>0</v>
      </c>
      <c r="L87" s="73"/>
      <c r="N87" s="12"/>
      <c r="O87" s="29"/>
      <c r="P87" s="203"/>
      <c r="Q87" s="13"/>
    </row>
    <row r="88" spans="1:17">
      <c r="A88" s="7" t="s">
        <v>403</v>
      </c>
      <c r="B88" s="12"/>
      <c r="C88" s="79"/>
      <c r="D88" s="54"/>
      <c r="E88" s="54"/>
      <c r="F88" s="169"/>
      <c r="G88" s="56"/>
      <c r="H88" s="320"/>
      <c r="I88" s="57"/>
      <c r="J88" s="77"/>
      <c r="K88" s="77"/>
      <c r="L88" s="73"/>
      <c r="N88" s="12"/>
      <c r="O88" s="29"/>
      <c r="P88" s="203"/>
      <c r="Q88" s="13"/>
    </row>
    <row r="89" spans="1:17">
      <c r="B89" s="12"/>
      <c r="C89" s="79"/>
      <c r="D89" s="80" t="s">
        <v>462</v>
      </c>
      <c r="E89" s="54"/>
      <c r="F89" s="169"/>
      <c r="G89" s="56"/>
      <c r="H89" s="320"/>
      <c r="I89" s="57"/>
      <c r="J89" s="77"/>
      <c r="K89" s="77"/>
      <c r="L89" s="73"/>
      <c r="N89" s="12"/>
      <c r="O89" s="29"/>
      <c r="P89" s="203"/>
      <c r="Q89" s="13"/>
    </row>
    <row r="90" spans="1:17">
      <c r="B90" s="12"/>
      <c r="C90" s="53" t="s">
        <v>1235</v>
      </c>
      <c r="D90" s="54" t="s">
        <v>463</v>
      </c>
      <c r="E90" s="54"/>
      <c r="F90" s="169">
        <v>0</v>
      </c>
      <c r="G90" s="56" t="s">
        <v>144</v>
      </c>
      <c r="H90" s="320">
        <v>1200</v>
      </c>
      <c r="I90" s="136">
        <f t="shared" ref="I90:I91" si="30">IF(ISNUMBER(F90), F90 * H90, 0)</f>
        <v>0</v>
      </c>
      <c r="J90" s="137">
        <f t="shared" ref="J90:J91" si="31">IF($J$8=0, 0, I90/$J$8)</f>
        <v>0</v>
      </c>
      <c r="K90" s="137">
        <f t="shared" si="29"/>
        <v>0</v>
      </c>
      <c r="L90" s="73"/>
      <c r="N90" s="12"/>
      <c r="O90" s="29"/>
      <c r="P90" s="203"/>
      <c r="Q90" s="13"/>
    </row>
    <row r="91" spans="1:17">
      <c r="B91" s="12"/>
      <c r="C91" s="53" t="s">
        <v>1236</v>
      </c>
      <c r="D91" s="54" t="s">
        <v>464</v>
      </c>
      <c r="E91" s="54"/>
      <c r="F91" s="169">
        <v>0</v>
      </c>
      <c r="G91" s="56" t="s">
        <v>144</v>
      </c>
      <c r="H91" s="320">
        <v>15000</v>
      </c>
      <c r="I91" s="136">
        <f t="shared" si="30"/>
        <v>0</v>
      </c>
      <c r="J91" s="137">
        <f t="shared" si="31"/>
        <v>0</v>
      </c>
      <c r="K91" s="137">
        <f t="shared" si="29"/>
        <v>0</v>
      </c>
      <c r="L91" s="73"/>
      <c r="N91" s="12"/>
      <c r="O91" s="29"/>
      <c r="P91" s="203"/>
      <c r="Q91" s="13"/>
    </row>
    <row r="92" spans="1:17" ht="14.25" thickBot="1">
      <c r="B92" s="12"/>
      <c r="C92" s="79"/>
      <c r="D92" s="54"/>
      <c r="E92" s="54"/>
      <c r="F92" s="169"/>
      <c r="G92" s="56"/>
      <c r="H92" s="320"/>
      <c r="I92" s="57"/>
      <c r="J92" s="77"/>
      <c r="K92" s="77"/>
      <c r="L92" s="73"/>
      <c r="N92" s="12"/>
      <c r="O92" s="29"/>
      <c r="P92" s="203"/>
      <c r="Q92" s="13"/>
    </row>
    <row r="93" spans="1:17" ht="18" customHeight="1">
      <c r="A93" s="7" t="s">
        <v>403</v>
      </c>
      <c r="B93" s="12"/>
      <c r="C93" s="443" t="s">
        <v>465</v>
      </c>
      <c r="D93" s="444" t="s">
        <v>414</v>
      </c>
      <c r="E93" s="318">
        <f>SUM(I94:I130)</f>
        <v>0</v>
      </c>
      <c r="F93" s="178"/>
      <c r="G93" s="179"/>
      <c r="H93" s="180"/>
      <c r="I93" s="191"/>
      <c r="J93" s="192"/>
      <c r="K93" s="192"/>
      <c r="L93" s="73"/>
      <c r="N93" s="12"/>
      <c r="O93" s="204"/>
      <c r="P93" s="205"/>
      <c r="Q93" s="13"/>
    </row>
    <row r="94" spans="1:17">
      <c r="A94" s="7" t="s">
        <v>403</v>
      </c>
      <c r="B94" s="12"/>
      <c r="C94" s="79"/>
      <c r="D94" s="80"/>
      <c r="E94" s="54"/>
      <c r="F94" s="169"/>
      <c r="G94" s="56"/>
      <c r="H94" s="320"/>
      <c r="I94" s="57"/>
      <c r="J94" s="77"/>
      <c r="K94" s="77"/>
      <c r="L94" s="73"/>
      <c r="N94" s="12"/>
      <c r="O94" s="29"/>
      <c r="P94" s="203"/>
      <c r="Q94" s="13"/>
    </row>
    <row r="95" spans="1:17">
      <c r="B95" s="12"/>
      <c r="C95" s="79"/>
      <c r="D95" s="80" t="s">
        <v>466</v>
      </c>
      <c r="E95" s="54"/>
      <c r="F95" s="169"/>
      <c r="G95" s="56"/>
      <c r="H95" s="320"/>
      <c r="I95" s="57"/>
      <c r="J95" s="77"/>
      <c r="K95" s="77"/>
      <c r="L95" s="73"/>
      <c r="N95" s="12"/>
      <c r="O95" s="29"/>
      <c r="P95" s="203"/>
      <c r="Q95" s="13"/>
    </row>
    <row r="96" spans="1:17">
      <c r="B96" s="12"/>
      <c r="C96" s="53" t="s">
        <v>1237</v>
      </c>
      <c r="D96" s="54" t="s">
        <v>170</v>
      </c>
      <c r="E96" s="54"/>
      <c r="F96" s="169">
        <v>0</v>
      </c>
      <c r="G96" s="56" t="s">
        <v>146</v>
      </c>
      <c r="H96" s="320">
        <v>7</v>
      </c>
      <c r="I96" s="136">
        <f t="shared" ref="I96:I103" si="32">IF(ISNUMBER(F96), F96 * H96, 0)</f>
        <v>0</v>
      </c>
      <c r="J96" s="137">
        <f t="shared" ref="J96:J103" si="33">IF($J$8=0, 0, I96/$J$8)</f>
        <v>0</v>
      </c>
      <c r="K96" s="137">
        <f t="shared" si="29"/>
        <v>0</v>
      </c>
      <c r="L96" s="73"/>
      <c r="N96" s="12"/>
      <c r="O96" s="29"/>
      <c r="P96" s="203"/>
      <c r="Q96" s="13"/>
    </row>
    <row r="97" spans="1:17">
      <c r="B97" s="12"/>
      <c r="C97" s="53" t="s">
        <v>1238</v>
      </c>
      <c r="D97" s="54" t="s">
        <v>467</v>
      </c>
      <c r="E97" s="54"/>
      <c r="F97" s="169">
        <v>0</v>
      </c>
      <c r="G97" s="56" t="s">
        <v>144</v>
      </c>
      <c r="H97" s="320">
        <v>5500</v>
      </c>
      <c r="I97" s="136">
        <f t="shared" si="32"/>
        <v>0</v>
      </c>
      <c r="J97" s="137">
        <f t="shared" si="33"/>
        <v>0</v>
      </c>
      <c r="K97" s="137">
        <f t="shared" si="29"/>
        <v>0</v>
      </c>
      <c r="L97" s="73"/>
      <c r="N97" s="12"/>
      <c r="O97" s="29"/>
      <c r="P97" s="203"/>
      <c r="Q97" s="13"/>
    </row>
    <row r="98" spans="1:17">
      <c r="B98" s="12"/>
      <c r="C98" s="53" t="s">
        <v>1239</v>
      </c>
      <c r="D98" s="54" t="s">
        <v>174</v>
      </c>
      <c r="E98" s="54"/>
      <c r="F98" s="169">
        <v>0</v>
      </c>
      <c r="G98" s="56" t="s">
        <v>146</v>
      </c>
      <c r="H98" s="320">
        <v>8</v>
      </c>
      <c r="I98" s="136">
        <f t="shared" si="32"/>
        <v>0</v>
      </c>
      <c r="J98" s="137">
        <f t="shared" si="33"/>
        <v>0</v>
      </c>
      <c r="K98" s="137">
        <f t="shared" si="29"/>
        <v>0</v>
      </c>
      <c r="L98" s="73"/>
      <c r="N98" s="12"/>
      <c r="O98" s="29"/>
      <c r="P98" s="203"/>
      <c r="Q98" s="13"/>
    </row>
    <row r="99" spans="1:17">
      <c r="B99" s="12"/>
      <c r="C99" s="53" t="s">
        <v>1240</v>
      </c>
      <c r="D99" s="81" t="s">
        <v>468</v>
      </c>
      <c r="E99" s="54"/>
      <c r="F99" s="169">
        <v>0</v>
      </c>
      <c r="G99" s="56" t="s">
        <v>146</v>
      </c>
      <c r="H99" s="320">
        <v>2</v>
      </c>
      <c r="I99" s="136">
        <f t="shared" si="32"/>
        <v>0</v>
      </c>
      <c r="J99" s="137">
        <f t="shared" si="33"/>
        <v>0</v>
      </c>
      <c r="K99" s="137">
        <f t="shared" si="29"/>
        <v>0</v>
      </c>
      <c r="L99" s="73"/>
      <c r="N99" s="12"/>
      <c r="O99" s="29"/>
      <c r="P99" s="203"/>
      <c r="Q99" s="13"/>
    </row>
    <row r="100" spans="1:17">
      <c r="B100" s="12"/>
      <c r="C100" s="53" t="s">
        <v>1241</v>
      </c>
      <c r="D100" s="81" t="s">
        <v>469</v>
      </c>
      <c r="E100" s="54"/>
      <c r="F100" s="169">
        <v>0</v>
      </c>
      <c r="G100" s="56" t="s">
        <v>146</v>
      </c>
      <c r="H100" s="320">
        <v>0</v>
      </c>
      <c r="I100" s="136">
        <f t="shared" si="32"/>
        <v>0</v>
      </c>
      <c r="J100" s="137">
        <f t="shared" si="33"/>
        <v>0</v>
      </c>
      <c r="K100" s="137">
        <f t="shared" si="29"/>
        <v>0</v>
      </c>
      <c r="L100" s="73"/>
      <c r="N100" s="12"/>
      <c r="O100" s="29"/>
      <c r="P100" s="203"/>
      <c r="Q100" s="13"/>
    </row>
    <row r="101" spans="1:17">
      <c r="B101" s="12"/>
      <c r="C101" s="53" t="s">
        <v>1242</v>
      </c>
      <c r="D101" s="81" t="s">
        <v>470</v>
      </c>
      <c r="E101" s="54"/>
      <c r="F101" s="169">
        <v>0</v>
      </c>
      <c r="G101" s="56" t="s">
        <v>146</v>
      </c>
      <c r="H101" s="320">
        <v>0</v>
      </c>
      <c r="I101" s="136">
        <f t="shared" si="32"/>
        <v>0</v>
      </c>
      <c r="J101" s="137">
        <f t="shared" si="33"/>
        <v>0</v>
      </c>
      <c r="K101" s="137">
        <f t="shared" si="29"/>
        <v>0</v>
      </c>
      <c r="L101" s="73"/>
      <c r="N101" s="12"/>
      <c r="O101" s="29"/>
      <c r="P101" s="203"/>
      <c r="Q101" s="13"/>
    </row>
    <row r="102" spans="1:17">
      <c r="B102" s="12"/>
      <c r="C102" s="53" t="s">
        <v>1243</v>
      </c>
      <c r="D102" s="81" t="s">
        <v>471</v>
      </c>
      <c r="E102" s="54"/>
      <c r="F102" s="169">
        <v>0</v>
      </c>
      <c r="G102" s="56" t="s">
        <v>146</v>
      </c>
      <c r="H102" s="320">
        <v>0</v>
      </c>
      <c r="I102" s="136">
        <f t="shared" si="32"/>
        <v>0</v>
      </c>
      <c r="J102" s="137">
        <f t="shared" si="33"/>
        <v>0</v>
      </c>
      <c r="K102" s="137">
        <f t="shared" si="29"/>
        <v>0</v>
      </c>
      <c r="L102" s="73"/>
      <c r="N102" s="12"/>
      <c r="O102" s="29"/>
      <c r="P102" s="203"/>
      <c r="Q102" s="13"/>
    </row>
    <row r="103" spans="1:17">
      <c r="B103" s="12"/>
      <c r="C103" s="53" t="s">
        <v>1244</v>
      </c>
      <c r="D103" s="54" t="s">
        <v>472</v>
      </c>
      <c r="E103" s="54"/>
      <c r="F103" s="169">
        <v>0</v>
      </c>
      <c r="G103" s="56" t="s">
        <v>146</v>
      </c>
      <c r="H103" s="320">
        <v>8</v>
      </c>
      <c r="I103" s="136">
        <f t="shared" si="32"/>
        <v>0</v>
      </c>
      <c r="J103" s="137">
        <f t="shared" si="33"/>
        <v>0</v>
      </c>
      <c r="K103" s="137">
        <f t="shared" si="29"/>
        <v>0</v>
      </c>
      <c r="L103" s="73"/>
      <c r="N103" s="12"/>
      <c r="O103" s="29"/>
      <c r="P103" s="203"/>
      <c r="Q103" s="13"/>
    </row>
    <row r="104" spans="1:17">
      <c r="B104" s="12"/>
      <c r="C104" s="79"/>
      <c r="D104" s="54"/>
      <c r="E104" s="54"/>
      <c r="F104" s="169"/>
      <c r="G104" s="56"/>
      <c r="H104" s="320"/>
      <c r="I104" s="57"/>
      <c r="J104" s="77"/>
      <c r="K104" s="77"/>
      <c r="L104" s="73"/>
      <c r="N104" s="12"/>
      <c r="O104" s="29"/>
      <c r="P104" s="203"/>
      <c r="Q104" s="13"/>
    </row>
    <row r="105" spans="1:17">
      <c r="A105" s="7" t="s">
        <v>403</v>
      </c>
      <c r="B105" s="12"/>
      <c r="C105" s="79"/>
      <c r="D105" s="80" t="s">
        <v>473</v>
      </c>
      <c r="E105" s="54"/>
      <c r="F105" s="169"/>
      <c r="G105" s="56"/>
      <c r="H105" s="320"/>
      <c r="I105" s="57"/>
      <c r="J105" s="77"/>
      <c r="K105" s="77"/>
      <c r="L105" s="73"/>
      <c r="N105" s="12"/>
      <c r="O105" s="29"/>
      <c r="P105" s="203"/>
      <c r="Q105" s="13"/>
    </row>
    <row r="106" spans="1:17">
      <c r="A106" s="7" t="s">
        <v>403</v>
      </c>
      <c r="B106" s="12"/>
      <c r="C106" s="82" t="s">
        <v>1245</v>
      </c>
      <c r="D106" s="54" t="s">
        <v>474</v>
      </c>
      <c r="E106" s="54"/>
      <c r="F106" s="169">
        <v>0</v>
      </c>
      <c r="G106" s="56" t="s">
        <v>144</v>
      </c>
      <c r="H106" s="320">
        <v>3200</v>
      </c>
      <c r="I106" s="136">
        <f t="shared" ref="I106:I109" si="34">IF(ISNUMBER(F106), F106 * H106, 0)</f>
        <v>0</v>
      </c>
      <c r="J106" s="137">
        <f t="shared" ref="J106:J109" si="35">IF($J$8=0, 0, I106/$J$8)</f>
        <v>0</v>
      </c>
      <c r="K106" s="137">
        <f t="shared" ref="K106" si="36">IF($K$8=0, 0, I106/$K$8)</f>
        <v>0</v>
      </c>
      <c r="L106" s="73"/>
      <c r="N106" s="12"/>
      <c r="O106" s="29"/>
      <c r="P106" s="203"/>
      <c r="Q106" s="13"/>
    </row>
    <row r="107" spans="1:17">
      <c r="A107" s="7" t="s">
        <v>403</v>
      </c>
      <c r="B107" s="12"/>
      <c r="C107" s="53" t="s">
        <v>1246</v>
      </c>
      <c r="D107" s="54" t="s">
        <v>475</v>
      </c>
      <c r="E107" s="54"/>
      <c r="F107" s="169">
        <v>0</v>
      </c>
      <c r="G107" s="56" t="s">
        <v>146</v>
      </c>
      <c r="H107" s="320">
        <v>22</v>
      </c>
      <c r="I107" s="136">
        <f t="shared" si="34"/>
        <v>0</v>
      </c>
      <c r="J107" s="137">
        <f t="shared" si="35"/>
        <v>0</v>
      </c>
      <c r="K107" s="137">
        <f t="shared" si="29"/>
        <v>0</v>
      </c>
      <c r="L107" s="73"/>
      <c r="N107" s="12"/>
      <c r="O107" s="29"/>
      <c r="P107" s="203"/>
      <c r="Q107" s="13"/>
    </row>
    <row r="108" spans="1:17">
      <c r="B108" s="12"/>
      <c r="C108" s="53" t="s">
        <v>1247</v>
      </c>
      <c r="D108" s="54" t="s">
        <v>177</v>
      </c>
      <c r="E108" s="54"/>
      <c r="F108" s="169">
        <v>0</v>
      </c>
      <c r="G108" s="56" t="s">
        <v>229</v>
      </c>
      <c r="H108" s="320">
        <v>1.2</v>
      </c>
      <c r="I108" s="136">
        <f t="shared" si="34"/>
        <v>0</v>
      </c>
      <c r="J108" s="137">
        <f>IF($J$8=0, 0, I108/$J$8)</f>
        <v>0</v>
      </c>
      <c r="K108" s="137">
        <f t="shared" si="29"/>
        <v>0</v>
      </c>
      <c r="L108" s="73"/>
      <c r="N108" s="12"/>
      <c r="O108" s="29"/>
      <c r="P108" s="203"/>
      <c r="Q108" s="13"/>
    </row>
    <row r="109" spans="1:17">
      <c r="B109" s="12"/>
      <c r="C109" s="53" t="s">
        <v>1248</v>
      </c>
      <c r="D109" s="54" t="s">
        <v>476</v>
      </c>
      <c r="E109" s="54"/>
      <c r="F109" s="169">
        <v>0</v>
      </c>
      <c r="G109" s="56" t="s">
        <v>146</v>
      </c>
      <c r="H109" s="320">
        <v>7</v>
      </c>
      <c r="I109" s="136">
        <f t="shared" si="34"/>
        <v>0</v>
      </c>
      <c r="J109" s="137">
        <f t="shared" si="35"/>
        <v>0</v>
      </c>
      <c r="K109" s="137">
        <f t="shared" si="29"/>
        <v>0</v>
      </c>
      <c r="L109" s="73"/>
      <c r="N109" s="12"/>
      <c r="O109" s="29"/>
      <c r="P109" s="203"/>
      <c r="Q109" s="13"/>
    </row>
    <row r="110" spans="1:17">
      <c r="B110" s="12"/>
      <c r="C110" s="79"/>
      <c r="D110" s="54"/>
      <c r="E110" s="54"/>
      <c r="F110" s="169"/>
      <c r="G110" s="56"/>
      <c r="H110" s="320"/>
      <c r="I110" s="57"/>
      <c r="J110" s="77"/>
      <c r="K110" s="77"/>
      <c r="L110" s="73"/>
      <c r="N110" s="12"/>
      <c r="O110" s="29"/>
      <c r="P110" s="203"/>
      <c r="Q110" s="13"/>
    </row>
    <row r="111" spans="1:17">
      <c r="B111" s="12"/>
      <c r="C111" s="79"/>
      <c r="D111" s="80" t="s">
        <v>477</v>
      </c>
      <c r="E111" s="54"/>
      <c r="F111" s="169"/>
      <c r="G111" s="56"/>
      <c r="H111" s="320"/>
      <c r="I111" s="57"/>
      <c r="J111" s="77"/>
      <c r="K111" s="77"/>
      <c r="L111" s="73"/>
      <c r="N111" s="12"/>
      <c r="O111" s="29"/>
      <c r="P111" s="203"/>
      <c r="Q111" s="13"/>
    </row>
    <row r="112" spans="1:17">
      <c r="B112" s="12"/>
      <c r="C112" s="53" t="s">
        <v>1249</v>
      </c>
      <c r="D112" s="54" t="s">
        <v>187</v>
      </c>
      <c r="E112" s="54"/>
      <c r="F112" s="169">
        <v>0</v>
      </c>
      <c r="G112" s="56" t="s">
        <v>146</v>
      </c>
      <c r="H112" s="320">
        <v>5</v>
      </c>
      <c r="I112" s="136">
        <f t="shared" ref="I112:I113" si="37">IF(ISNUMBER(F112), F112 * H112, 0)</f>
        <v>0</v>
      </c>
      <c r="J112" s="137">
        <f t="shared" ref="J112:J113" si="38">IF($J$8=0, 0, I112/$J$8)</f>
        <v>0</v>
      </c>
      <c r="K112" s="137">
        <f t="shared" si="29"/>
        <v>0</v>
      </c>
      <c r="L112" s="73"/>
      <c r="N112" s="12"/>
      <c r="O112" s="29"/>
      <c r="P112" s="203"/>
      <c r="Q112" s="13"/>
    </row>
    <row r="113" spans="1:17">
      <c r="B113" s="12"/>
      <c r="C113" s="53" t="s">
        <v>1250</v>
      </c>
      <c r="D113" s="54" t="s">
        <v>478</v>
      </c>
      <c r="E113" s="54"/>
      <c r="F113" s="169">
        <v>0</v>
      </c>
      <c r="G113" s="56" t="s">
        <v>141</v>
      </c>
      <c r="H113" s="320">
        <v>15</v>
      </c>
      <c r="I113" s="136">
        <f t="shared" si="37"/>
        <v>0</v>
      </c>
      <c r="J113" s="137">
        <f t="shared" si="38"/>
        <v>0</v>
      </c>
      <c r="K113" s="137">
        <f t="shared" si="29"/>
        <v>0</v>
      </c>
      <c r="L113" s="73"/>
      <c r="N113" s="12"/>
      <c r="O113" s="29"/>
      <c r="P113" s="203"/>
      <c r="Q113" s="13"/>
    </row>
    <row r="114" spans="1:17">
      <c r="B114" s="12"/>
      <c r="C114" s="79"/>
      <c r="D114" s="54"/>
      <c r="E114" s="54"/>
      <c r="F114" s="169"/>
      <c r="G114" s="56"/>
      <c r="H114" s="320"/>
      <c r="I114" s="57"/>
      <c r="J114" s="77"/>
      <c r="K114" s="77"/>
      <c r="L114" s="73"/>
      <c r="N114" s="12"/>
      <c r="O114" s="29"/>
      <c r="P114" s="203"/>
      <c r="Q114" s="13"/>
    </row>
    <row r="115" spans="1:17">
      <c r="A115" s="7" t="s">
        <v>403</v>
      </c>
      <c r="B115" s="12"/>
      <c r="C115" s="79"/>
      <c r="D115" s="80" t="s">
        <v>479</v>
      </c>
      <c r="E115" s="54"/>
      <c r="F115" s="169"/>
      <c r="G115" s="56"/>
      <c r="H115" s="320"/>
      <c r="I115" s="57"/>
      <c r="J115" s="77"/>
      <c r="K115" s="77"/>
      <c r="L115" s="73"/>
      <c r="N115" s="12"/>
      <c r="O115" s="29"/>
      <c r="P115" s="203"/>
      <c r="Q115" s="13"/>
    </row>
    <row r="116" spans="1:17">
      <c r="A116" s="7" t="s">
        <v>403</v>
      </c>
      <c r="B116" s="12"/>
      <c r="C116" s="53" t="s">
        <v>1251</v>
      </c>
      <c r="D116" s="54" t="s">
        <v>193</v>
      </c>
      <c r="E116" s="54"/>
      <c r="F116" s="169">
        <v>0</v>
      </c>
      <c r="G116" s="56" t="s">
        <v>146</v>
      </c>
      <c r="H116" s="320">
        <v>40</v>
      </c>
      <c r="I116" s="136">
        <f t="shared" ref="I116:I117" si="39">IF(ISNUMBER(F116), F116 * H116, 0)</f>
        <v>0</v>
      </c>
      <c r="J116" s="137">
        <f t="shared" ref="J116:J117" si="40">IF($J$8=0, 0, I116/$J$8)</f>
        <v>0</v>
      </c>
      <c r="K116" s="137">
        <f t="shared" si="29"/>
        <v>0</v>
      </c>
      <c r="L116" s="73"/>
      <c r="N116" s="12"/>
      <c r="O116" s="29"/>
      <c r="P116" s="203"/>
      <c r="Q116" s="13"/>
    </row>
    <row r="117" spans="1:17">
      <c r="B117" s="12"/>
      <c r="C117" s="53" t="s">
        <v>1252</v>
      </c>
      <c r="D117" s="54" t="s">
        <v>196</v>
      </c>
      <c r="E117" s="54"/>
      <c r="F117" s="169">
        <v>0</v>
      </c>
      <c r="G117" s="56" t="s">
        <v>146</v>
      </c>
      <c r="H117" s="320">
        <v>18</v>
      </c>
      <c r="I117" s="136">
        <f t="shared" si="39"/>
        <v>0</v>
      </c>
      <c r="J117" s="137">
        <f t="shared" si="40"/>
        <v>0</v>
      </c>
      <c r="K117" s="137">
        <f t="shared" si="29"/>
        <v>0</v>
      </c>
      <c r="L117" s="73"/>
      <c r="N117" s="12"/>
      <c r="O117" s="29"/>
      <c r="P117" s="203"/>
      <c r="Q117" s="13"/>
    </row>
    <row r="118" spans="1:17">
      <c r="B118" s="12"/>
      <c r="C118" s="79"/>
      <c r="D118" s="54"/>
      <c r="E118" s="54"/>
      <c r="F118" s="169"/>
      <c r="G118" s="56"/>
      <c r="H118" s="320"/>
      <c r="I118" s="57"/>
      <c r="J118" s="77"/>
      <c r="K118" s="77"/>
      <c r="L118" s="73"/>
      <c r="N118" s="12"/>
      <c r="O118" s="29"/>
      <c r="P118" s="203"/>
      <c r="Q118" s="13"/>
    </row>
    <row r="119" spans="1:17">
      <c r="B119" s="12"/>
      <c r="C119" s="79"/>
      <c r="D119" s="80" t="s">
        <v>480</v>
      </c>
      <c r="E119" s="54"/>
      <c r="F119" s="169"/>
      <c r="G119" s="56"/>
      <c r="H119" s="320"/>
      <c r="I119" s="57"/>
      <c r="J119" s="77"/>
      <c r="K119" s="77"/>
      <c r="L119" s="73"/>
      <c r="N119" s="12"/>
      <c r="O119" s="29"/>
      <c r="P119" s="203"/>
      <c r="Q119" s="13"/>
    </row>
    <row r="120" spans="1:17">
      <c r="B120" s="12"/>
      <c r="C120" s="53" t="s">
        <v>1253</v>
      </c>
      <c r="D120" s="54" t="s">
        <v>200</v>
      </c>
      <c r="E120" s="54"/>
      <c r="F120" s="169">
        <v>0</v>
      </c>
      <c r="G120" s="56" t="s">
        <v>146</v>
      </c>
      <c r="H120" s="320">
        <v>15.7</v>
      </c>
      <c r="I120" s="136">
        <f t="shared" ref="I120:I122" si="41">IF(ISNUMBER(F120), F120 * H120, 0)</f>
        <v>0</v>
      </c>
      <c r="J120" s="137">
        <f t="shared" ref="J120:J122" si="42">IF($J$8=0, 0, I120/$J$8)</f>
        <v>0</v>
      </c>
      <c r="K120" s="137">
        <f t="shared" si="29"/>
        <v>0</v>
      </c>
      <c r="L120" s="73"/>
      <c r="N120" s="12"/>
      <c r="O120" s="29"/>
      <c r="P120" s="203"/>
      <c r="Q120" s="13"/>
    </row>
    <row r="121" spans="1:17">
      <c r="B121" s="12"/>
      <c r="C121" s="388" t="s">
        <v>1254</v>
      </c>
      <c r="D121" s="54" t="s">
        <v>481</v>
      </c>
      <c r="E121" s="54"/>
      <c r="F121" s="169">
        <v>0</v>
      </c>
      <c r="G121" s="56" t="s">
        <v>146</v>
      </c>
      <c r="H121" s="320">
        <v>25</v>
      </c>
      <c r="I121" s="136">
        <f t="shared" si="41"/>
        <v>0</v>
      </c>
      <c r="J121" s="137">
        <f t="shared" si="42"/>
        <v>0</v>
      </c>
      <c r="K121" s="137">
        <f t="shared" ref="K121" si="43">IF($K$8=0, 0, I121/$K$8)</f>
        <v>0</v>
      </c>
      <c r="L121" s="73"/>
      <c r="N121" s="12"/>
      <c r="O121" s="29"/>
      <c r="P121" s="203"/>
      <c r="Q121" s="13"/>
    </row>
    <row r="122" spans="1:17">
      <c r="B122" s="12"/>
      <c r="C122" s="53" t="s">
        <v>1255</v>
      </c>
      <c r="D122" s="54" t="s">
        <v>482</v>
      </c>
      <c r="E122" s="54"/>
      <c r="F122" s="169">
        <v>0</v>
      </c>
      <c r="G122" s="56" t="s">
        <v>229</v>
      </c>
      <c r="H122" s="320">
        <v>20000</v>
      </c>
      <c r="I122" s="136">
        <f t="shared" si="41"/>
        <v>0</v>
      </c>
      <c r="J122" s="137">
        <f t="shared" si="42"/>
        <v>0</v>
      </c>
      <c r="K122" s="137">
        <f t="shared" si="29"/>
        <v>0</v>
      </c>
      <c r="L122" s="73"/>
      <c r="N122" s="12"/>
      <c r="O122" s="29"/>
      <c r="P122" s="203"/>
      <c r="Q122" s="13"/>
    </row>
    <row r="123" spans="1:17">
      <c r="B123" s="12"/>
      <c r="C123" s="388" t="s">
        <v>1256</v>
      </c>
      <c r="D123" s="54" t="s">
        <v>483</v>
      </c>
      <c r="E123" s="54"/>
      <c r="F123" s="169">
        <v>0</v>
      </c>
      <c r="G123" s="56" t="s">
        <v>146</v>
      </c>
      <c r="H123" s="320">
        <v>34</v>
      </c>
      <c r="I123" s="136">
        <f t="shared" ref="I123" si="44">IF(ISNUMBER(F123), F123 * H123, 0)</f>
        <v>0</v>
      </c>
      <c r="J123" s="137">
        <f t="shared" ref="J123" si="45">IF($J$8=0, 0, I123/$J$8)</f>
        <v>0</v>
      </c>
      <c r="K123" s="137">
        <f t="shared" si="29"/>
        <v>0</v>
      </c>
      <c r="L123" s="73"/>
      <c r="N123" s="12"/>
      <c r="O123" s="29"/>
      <c r="P123" s="203"/>
      <c r="Q123" s="13"/>
    </row>
    <row r="124" spans="1:17">
      <c r="B124" s="12"/>
      <c r="C124" s="53"/>
      <c r="D124" s="54"/>
      <c r="E124" s="54"/>
      <c r="F124" s="169"/>
      <c r="G124" s="56"/>
      <c r="H124" s="320"/>
      <c r="I124" s="57"/>
      <c r="J124" s="77"/>
      <c r="K124" s="77"/>
      <c r="L124" s="73"/>
      <c r="N124" s="12"/>
      <c r="O124" s="29"/>
      <c r="P124" s="203"/>
      <c r="Q124" s="13"/>
    </row>
    <row r="125" spans="1:17">
      <c r="A125" s="7" t="s">
        <v>403</v>
      </c>
      <c r="B125" s="12"/>
      <c r="C125" s="53"/>
      <c r="D125" s="80" t="s">
        <v>484</v>
      </c>
      <c r="E125" s="54"/>
      <c r="F125" s="169"/>
      <c r="G125" s="56"/>
      <c r="H125" s="320"/>
      <c r="I125" s="57"/>
      <c r="J125" s="77"/>
      <c r="K125" s="77"/>
      <c r="L125" s="73"/>
      <c r="N125" s="12"/>
      <c r="O125" s="29"/>
      <c r="P125" s="203"/>
      <c r="Q125" s="13"/>
    </row>
    <row r="126" spans="1:17">
      <c r="A126" s="7" t="s">
        <v>403</v>
      </c>
      <c r="B126" s="12"/>
      <c r="C126" s="53" t="s">
        <v>1257</v>
      </c>
      <c r="D126" s="54" t="s">
        <v>485</v>
      </c>
      <c r="E126" s="54"/>
      <c r="F126" s="169">
        <v>0</v>
      </c>
      <c r="G126" s="56" t="s">
        <v>144</v>
      </c>
      <c r="H126" s="320">
        <v>650</v>
      </c>
      <c r="I126" s="136">
        <f t="shared" ref="I126:I129" si="46">IF(ISNUMBER(F126), F126 * H126, 0)</f>
        <v>0</v>
      </c>
      <c r="J126" s="137">
        <f t="shared" ref="J126:J129" si="47">IF($J$8=0, 0, I126/$J$8)</f>
        <v>0</v>
      </c>
      <c r="K126" s="137">
        <f t="shared" si="29"/>
        <v>0</v>
      </c>
      <c r="L126" s="73"/>
      <c r="N126" s="12"/>
      <c r="O126" s="29"/>
      <c r="P126" s="203"/>
      <c r="Q126" s="13"/>
    </row>
    <row r="127" spans="1:17">
      <c r="B127" s="12"/>
      <c r="C127" s="53" t="s">
        <v>1258</v>
      </c>
      <c r="D127" s="54" t="s">
        <v>486</v>
      </c>
      <c r="E127" s="54"/>
      <c r="F127" s="169">
        <v>0</v>
      </c>
      <c r="G127" s="56" t="s">
        <v>229</v>
      </c>
      <c r="H127" s="320">
        <v>0</v>
      </c>
      <c r="I127" s="136">
        <f t="shared" si="46"/>
        <v>0</v>
      </c>
      <c r="J127" s="137">
        <f t="shared" si="47"/>
        <v>0</v>
      </c>
      <c r="K127" s="137">
        <f t="shared" si="29"/>
        <v>0</v>
      </c>
      <c r="L127" s="73"/>
      <c r="N127" s="12"/>
      <c r="O127" s="29"/>
      <c r="P127" s="203"/>
      <c r="Q127" s="13"/>
    </row>
    <row r="128" spans="1:17">
      <c r="A128" s="7" t="s">
        <v>403</v>
      </c>
      <c r="B128" s="12"/>
      <c r="C128" s="53" t="s">
        <v>1259</v>
      </c>
      <c r="D128" s="54" t="s">
        <v>487</v>
      </c>
      <c r="E128" s="54"/>
      <c r="F128" s="169">
        <v>0</v>
      </c>
      <c r="G128" s="56" t="s">
        <v>144</v>
      </c>
      <c r="H128" s="320">
        <v>900</v>
      </c>
      <c r="I128" s="136">
        <f t="shared" si="46"/>
        <v>0</v>
      </c>
      <c r="J128" s="137">
        <f t="shared" si="47"/>
        <v>0</v>
      </c>
      <c r="K128" s="137">
        <f t="shared" si="29"/>
        <v>0</v>
      </c>
      <c r="L128" s="73"/>
      <c r="N128" s="12"/>
      <c r="O128" s="29"/>
      <c r="P128" s="203"/>
      <c r="Q128" s="13"/>
    </row>
    <row r="129" spans="1:17">
      <c r="B129" s="12"/>
      <c r="C129" s="53" t="s">
        <v>1260</v>
      </c>
      <c r="D129" s="54" t="s">
        <v>488</v>
      </c>
      <c r="E129" s="54"/>
      <c r="F129" s="169">
        <v>0</v>
      </c>
      <c r="G129" s="56" t="s">
        <v>144</v>
      </c>
      <c r="H129" s="320">
        <v>15000</v>
      </c>
      <c r="I129" s="136">
        <f t="shared" si="46"/>
        <v>0</v>
      </c>
      <c r="J129" s="137">
        <f t="shared" si="47"/>
        <v>0</v>
      </c>
      <c r="K129" s="137">
        <f t="shared" si="29"/>
        <v>0</v>
      </c>
      <c r="L129" s="73"/>
      <c r="N129" s="12"/>
      <c r="O129" s="29"/>
      <c r="P129" s="203"/>
      <c r="Q129" s="13"/>
    </row>
    <row r="130" spans="1:17" ht="14.25" thickBot="1">
      <c r="A130" s="7" t="s">
        <v>403</v>
      </c>
      <c r="B130" s="12"/>
      <c r="C130" s="79"/>
      <c r="D130" s="54"/>
      <c r="E130" s="54"/>
      <c r="F130" s="169"/>
      <c r="G130" s="56"/>
      <c r="H130" s="320"/>
      <c r="I130" s="57"/>
      <c r="J130" s="77"/>
      <c r="K130" s="77"/>
      <c r="L130" s="73"/>
      <c r="N130" s="12"/>
      <c r="O130" s="29"/>
      <c r="P130" s="203"/>
      <c r="Q130" s="13"/>
    </row>
    <row r="131" spans="1:17" ht="18" customHeight="1">
      <c r="A131" s="7" t="s">
        <v>403</v>
      </c>
      <c r="B131" s="12"/>
      <c r="C131" s="443" t="s">
        <v>489</v>
      </c>
      <c r="D131" s="444" t="s">
        <v>414</v>
      </c>
      <c r="E131" s="318">
        <f>SUM(I132:I149)</f>
        <v>0</v>
      </c>
      <c r="F131" s="178"/>
      <c r="G131" s="179"/>
      <c r="H131" s="180"/>
      <c r="I131" s="191"/>
      <c r="J131" s="192"/>
      <c r="K131" s="192"/>
      <c r="L131" s="73"/>
      <c r="N131" s="12"/>
      <c r="O131" s="204"/>
      <c r="P131" s="205"/>
      <c r="Q131" s="13"/>
    </row>
    <row r="132" spans="1:17">
      <c r="A132" s="7" t="s">
        <v>403</v>
      </c>
      <c r="B132" s="12"/>
      <c r="C132" s="79"/>
      <c r="D132" s="80"/>
      <c r="E132" s="54"/>
      <c r="F132" s="169"/>
      <c r="G132" s="56"/>
      <c r="H132" s="320"/>
      <c r="I132" s="57"/>
      <c r="J132" s="77"/>
      <c r="K132" s="77"/>
      <c r="L132" s="73"/>
      <c r="N132" s="12"/>
      <c r="O132" s="29"/>
      <c r="P132" s="203"/>
      <c r="Q132" s="13"/>
    </row>
    <row r="133" spans="1:17">
      <c r="A133" s="7" t="s">
        <v>403</v>
      </c>
      <c r="B133" s="12"/>
      <c r="C133" s="53" t="s">
        <v>1261</v>
      </c>
      <c r="D133" s="54" t="s">
        <v>490</v>
      </c>
      <c r="E133" s="54"/>
      <c r="F133" s="169">
        <v>0</v>
      </c>
      <c r="G133" s="56" t="s">
        <v>144</v>
      </c>
      <c r="H133" s="320">
        <v>6500</v>
      </c>
      <c r="I133" s="136">
        <f t="shared" ref="I133:I148" si="48">IF(ISNUMBER(F133), F133 * H133, 0)</f>
        <v>0</v>
      </c>
      <c r="J133" s="137">
        <f t="shared" ref="J133:J148" si="49">IF($J$8=0, 0, I133/$J$8)</f>
        <v>0</v>
      </c>
      <c r="K133" s="137">
        <f t="shared" si="29"/>
        <v>0</v>
      </c>
      <c r="L133" s="73"/>
      <c r="N133" s="12"/>
      <c r="O133" s="29"/>
      <c r="P133" s="203"/>
      <c r="Q133" s="13"/>
    </row>
    <row r="134" spans="1:17">
      <c r="A134" s="7" t="s">
        <v>403</v>
      </c>
      <c r="B134" s="12"/>
      <c r="C134" s="53" t="s">
        <v>1263</v>
      </c>
      <c r="D134" s="54" t="s">
        <v>491</v>
      </c>
      <c r="E134" s="54"/>
      <c r="F134" s="169">
        <v>0</v>
      </c>
      <c r="G134" s="56" t="s">
        <v>229</v>
      </c>
      <c r="H134" s="320">
        <v>0</v>
      </c>
      <c r="I134" s="136">
        <f t="shared" si="48"/>
        <v>0</v>
      </c>
      <c r="J134" s="137">
        <f t="shared" si="49"/>
        <v>0</v>
      </c>
      <c r="K134" s="137">
        <f t="shared" si="29"/>
        <v>0</v>
      </c>
      <c r="L134" s="73"/>
      <c r="N134" s="12"/>
      <c r="O134" s="29"/>
      <c r="P134" s="203"/>
      <c r="Q134" s="13"/>
    </row>
    <row r="135" spans="1:17">
      <c r="A135" s="7" t="s">
        <v>403</v>
      </c>
      <c r="B135" s="12"/>
      <c r="C135" s="53" t="s">
        <v>1262</v>
      </c>
      <c r="D135" s="54" t="s">
        <v>492</v>
      </c>
      <c r="E135" s="54"/>
      <c r="F135" s="169">
        <v>0</v>
      </c>
      <c r="G135" s="56" t="s">
        <v>144</v>
      </c>
      <c r="H135" s="320">
        <v>288.94</v>
      </c>
      <c r="I135" s="136">
        <f t="shared" si="48"/>
        <v>0</v>
      </c>
      <c r="J135" s="137">
        <f t="shared" si="49"/>
        <v>0</v>
      </c>
      <c r="K135" s="137">
        <f t="shared" si="29"/>
        <v>0</v>
      </c>
      <c r="L135" s="73"/>
      <c r="N135" s="12"/>
      <c r="O135" s="29"/>
      <c r="P135" s="203"/>
      <c r="Q135" s="13"/>
    </row>
    <row r="136" spans="1:17">
      <c r="B136" s="12"/>
      <c r="C136" s="53" t="s">
        <v>1264</v>
      </c>
      <c r="D136" s="54" t="s">
        <v>493</v>
      </c>
      <c r="E136" s="54"/>
      <c r="F136" s="169">
        <v>0</v>
      </c>
      <c r="G136" s="56" t="s">
        <v>144</v>
      </c>
      <c r="H136" s="320">
        <v>14000</v>
      </c>
      <c r="I136" s="136">
        <f t="shared" si="48"/>
        <v>0</v>
      </c>
      <c r="J136" s="137">
        <f t="shared" si="49"/>
        <v>0</v>
      </c>
      <c r="K136" s="137">
        <f t="shared" si="29"/>
        <v>0</v>
      </c>
      <c r="L136" s="73"/>
      <c r="N136" s="12"/>
      <c r="O136" s="29"/>
      <c r="P136" s="203"/>
      <c r="Q136" s="13"/>
    </row>
    <row r="137" spans="1:17">
      <c r="A137" s="7" t="s">
        <v>403</v>
      </c>
      <c r="B137" s="12"/>
      <c r="C137" s="53" t="s">
        <v>1265</v>
      </c>
      <c r="D137" s="54" t="s">
        <v>494</v>
      </c>
      <c r="E137" s="54"/>
      <c r="F137" s="169">
        <v>0</v>
      </c>
      <c r="G137" s="56" t="s">
        <v>146</v>
      </c>
      <c r="H137" s="320">
        <v>65</v>
      </c>
      <c r="I137" s="136">
        <f t="shared" si="48"/>
        <v>0</v>
      </c>
      <c r="J137" s="137">
        <f t="shared" si="49"/>
        <v>0</v>
      </c>
      <c r="K137" s="137">
        <f t="shared" ref="K137:K178" si="50">IF($K$8=0, 0, I137/$K$8)</f>
        <v>0</v>
      </c>
      <c r="L137" s="73"/>
      <c r="N137" s="12"/>
      <c r="O137" s="29"/>
      <c r="P137" s="203"/>
      <c r="Q137" s="13"/>
    </row>
    <row r="138" spans="1:17">
      <c r="A138" s="7" t="s">
        <v>403</v>
      </c>
      <c r="B138" s="12"/>
      <c r="C138" s="53" t="s">
        <v>1266</v>
      </c>
      <c r="D138" s="54" t="s">
        <v>495</v>
      </c>
      <c r="E138" s="54"/>
      <c r="F138" s="169">
        <v>0</v>
      </c>
      <c r="G138" s="56" t="s">
        <v>144</v>
      </c>
      <c r="H138" s="320">
        <v>6500</v>
      </c>
      <c r="I138" s="136">
        <f t="shared" si="48"/>
        <v>0</v>
      </c>
      <c r="J138" s="137">
        <f t="shared" si="49"/>
        <v>0</v>
      </c>
      <c r="K138" s="137">
        <f t="shared" si="50"/>
        <v>0</v>
      </c>
      <c r="L138" s="73"/>
      <c r="N138" s="12"/>
      <c r="O138" s="29"/>
      <c r="P138" s="203"/>
      <c r="Q138" s="13"/>
    </row>
    <row r="139" spans="1:17">
      <c r="B139" s="12"/>
      <c r="C139" s="53" t="s">
        <v>1267</v>
      </c>
      <c r="D139" s="54" t="s">
        <v>496</v>
      </c>
      <c r="E139" s="54"/>
      <c r="F139" s="169">
        <v>0</v>
      </c>
      <c r="G139" s="56" t="s">
        <v>146</v>
      </c>
      <c r="H139" s="320">
        <v>0</v>
      </c>
      <c r="I139" s="136">
        <f t="shared" si="48"/>
        <v>0</v>
      </c>
      <c r="J139" s="137">
        <f t="shared" si="49"/>
        <v>0</v>
      </c>
      <c r="K139" s="137">
        <f t="shared" si="50"/>
        <v>0</v>
      </c>
      <c r="L139" s="73"/>
      <c r="N139" s="12"/>
      <c r="O139" s="29"/>
      <c r="P139" s="203"/>
      <c r="Q139" s="13"/>
    </row>
    <row r="140" spans="1:17">
      <c r="B140" s="12"/>
      <c r="C140" s="53" t="s">
        <v>1268</v>
      </c>
      <c r="D140" s="54" t="s">
        <v>497</v>
      </c>
      <c r="E140" s="54"/>
      <c r="F140" s="169">
        <v>0</v>
      </c>
      <c r="G140" s="56" t="s">
        <v>144</v>
      </c>
      <c r="H140" s="320">
        <v>0</v>
      </c>
      <c r="I140" s="136">
        <f t="shared" si="48"/>
        <v>0</v>
      </c>
      <c r="J140" s="137">
        <f t="shared" si="49"/>
        <v>0</v>
      </c>
      <c r="K140" s="137">
        <f t="shared" si="50"/>
        <v>0</v>
      </c>
      <c r="L140" s="73"/>
      <c r="N140" s="12"/>
      <c r="O140" s="29"/>
      <c r="P140" s="203"/>
      <c r="Q140" s="13"/>
    </row>
    <row r="141" spans="1:17">
      <c r="B141" s="12"/>
      <c r="C141" s="53" t="s">
        <v>1269</v>
      </c>
      <c r="D141" s="54" t="s">
        <v>204</v>
      </c>
      <c r="E141" s="54"/>
      <c r="F141" s="169">
        <v>0</v>
      </c>
      <c r="G141" s="56" t="s">
        <v>144</v>
      </c>
      <c r="H141" s="320">
        <v>5022</v>
      </c>
      <c r="I141" s="136">
        <f t="shared" si="48"/>
        <v>0</v>
      </c>
      <c r="J141" s="137">
        <f t="shared" si="49"/>
        <v>0</v>
      </c>
      <c r="K141" s="137">
        <f t="shared" si="50"/>
        <v>0</v>
      </c>
      <c r="L141" s="73"/>
      <c r="N141" s="12"/>
      <c r="O141" s="29"/>
      <c r="P141" s="203"/>
      <c r="Q141" s="13"/>
    </row>
    <row r="142" spans="1:17">
      <c r="B142" s="12"/>
      <c r="C142" s="53" t="s">
        <v>1270</v>
      </c>
      <c r="D142" s="54" t="s">
        <v>498</v>
      </c>
      <c r="E142" s="54"/>
      <c r="F142" s="169">
        <v>0</v>
      </c>
      <c r="G142" s="56" t="s">
        <v>144</v>
      </c>
      <c r="H142" s="320">
        <v>400</v>
      </c>
      <c r="I142" s="136">
        <f t="shared" si="48"/>
        <v>0</v>
      </c>
      <c r="J142" s="137">
        <f t="shared" si="49"/>
        <v>0</v>
      </c>
      <c r="K142" s="137">
        <f t="shared" si="50"/>
        <v>0</v>
      </c>
      <c r="L142" s="73"/>
      <c r="N142" s="12"/>
      <c r="O142" s="29"/>
      <c r="P142" s="203"/>
      <c r="Q142" s="13"/>
    </row>
    <row r="143" spans="1:17">
      <c r="B143" s="12"/>
      <c r="C143" s="78" t="s">
        <v>1271</v>
      </c>
      <c r="D143" s="54" t="s">
        <v>499</v>
      </c>
      <c r="E143" s="54"/>
      <c r="F143" s="169">
        <v>0</v>
      </c>
      <c r="G143" s="56" t="s">
        <v>144</v>
      </c>
      <c r="H143" s="320">
        <v>0</v>
      </c>
      <c r="I143" s="136">
        <f t="shared" si="48"/>
        <v>0</v>
      </c>
      <c r="J143" s="137">
        <f t="shared" si="49"/>
        <v>0</v>
      </c>
      <c r="K143" s="137">
        <f t="shared" ref="K143" si="51">IF($K$8=0, 0, I143/$K$8)</f>
        <v>0</v>
      </c>
      <c r="L143" s="73"/>
      <c r="N143" s="12"/>
      <c r="O143" s="29"/>
      <c r="P143" s="203"/>
      <c r="Q143" s="13"/>
    </row>
    <row r="144" spans="1:17">
      <c r="A144" s="7" t="s">
        <v>403</v>
      </c>
      <c r="B144" s="12"/>
      <c r="C144" s="53" t="s">
        <v>1272</v>
      </c>
      <c r="D144" s="54" t="s">
        <v>500</v>
      </c>
      <c r="E144" s="54"/>
      <c r="F144" s="169">
        <v>0</v>
      </c>
      <c r="G144" s="56" t="s">
        <v>144</v>
      </c>
      <c r="H144" s="320">
        <v>350</v>
      </c>
      <c r="I144" s="136">
        <f t="shared" si="48"/>
        <v>0</v>
      </c>
      <c r="J144" s="137">
        <f t="shared" si="49"/>
        <v>0</v>
      </c>
      <c r="K144" s="137">
        <f t="shared" si="50"/>
        <v>0</v>
      </c>
      <c r="L144" s="73"/>
      <c r="N144" s="12"/>
      <c r="O144" s="29"/>
      <c r="P144" s="203"/>
      <c r="Q144" s="13"/>
    </row>
    <row r="145" spans="1:20">
      <c r="A145" s="7" t="s">
        <v>403</v>
      </c>
      <c r="B145" s="12"/>
      <c r="C145" s="53" t="s">
        <v>1273</v>
      </c>
      <c r="D145" s="54" t="s">
        <v>501</v>
      </c>
      <c r="E145" s="54"/>
      <c r="F145" s="169">
        <v>0</v>
      </c>
      <c r="G145" s="56" t="s">
        <v>144</v>
      </c>
      <c r="H145" s="320">
        <v>0</v>
      </c>
      <c r="I145" s="136">
        <f t="shared" ref="I145" si="52">IF(ISNUMBER(F145), F145 * H145, 0)</f>
        <v>0</v>
      </c>
      <c r="J145" s="137">
        <f t="shared" si="49"/>
        <v>0</v>
      </c>
      <c r="K145" s="137">
        <f t="shared" ref="K145" si="53">IF($K$8=0, 0, I145/$K$8)</f>
        <v>0</v>
      </c>
      <c r="L145" s="73"/>
      <c r="N145" s="12"/>
      <c r="O145" s="29"/>
      <c r="P145" s="203"/>
      <c r="Q145" s="13"/>
    </row>
    <row r="146" spans="1:20">
      <c r="B146" s="12"/>
      <c r="C146" s="53" t="s">
        <v>1274</v>
      </c>
      <c r="D146" s="54" t="s">
        <v>502</v>
      </c>
      <c r="E146" s="54"/>
      <c r="F146" s="169">
        <v>0</v>
      </c>
      <c r="G146" s="56" t="s">
        <v>144</v>
      </c>
      <c r="H146" s="320">
        <v>500</v>
      </c>
      <c r="I146" s="136">
        <f t="shared" si="48"/>
        <v>0</v>
      </c>
      <c r="J146" s="137">
        <f t="shared" si="49"/>
        <v>0</v>
      </c>
      <c r="K146" s="137">
        <f t="shared" si="50"/>
        <v>0</v>
      </c>
      <c r="L146" s="73"/>
      <c r="N146" s="12"/>
      <c r="O146" s="29"/>
      <c r="P146" s="203"/>
      <c r="Q146" s="13"/>
    </row>
    <row r="147" spans="1:20">
      <c r="A147" s="7" t="s">
        <v>403</v>
      </c>
      <c r="B147" s="12"/>
      <c r="C147" s="78" t="s">
        <v>1275</v>
      </c>
      <c r="D147" s="54" t="s">
        <v>503</v>
      </c>
      <c r="E147" s="54"/>
      <c r="F147" s="169">
        <v>0</v>
      </c>
      <c r="G147" s="56" t="s">
        <v>144</v>
      </c>
      <c r="H147" s="320">
        <v>0</v>
      </c>
      <c r="I147" s="136">
        <f t="shared" si="48"/>
        <v>0</v>
      </c>
      <c r="J147" s="137">
        <f t="shared" si="49"/>
        <v>0</v>
      </c>
      <c r="K147" s="137">
        <f t="shared" ref="K147:K148" si="54">IF($K$8=0, 0, I147/$K$8)</f>
        <v>0</v>
      </c>
      <c r="L147" s="73"/>
      <c r="N147" s="12"/>
      <c r="O147" s="29"/>
      <c r="P147" s="203"/>
      <c r="Q147" s="13"/>
    </row>
    <row r="148" spans="1:20">
      <c r="B148" s="12"/>
      <c r="C148" s="78" t="s">
        <v>1276</v>
      </c>
      <c r="D148" s="54" t="s">
        <v>504</v>
      </c>
      <c r="E148" s="54"/>
      <c r="F148" s="169">
        <v>0</v>
      </c>
      <c r="G148" s="56" t="s">
        <v>229</v>
      </c>
      <c r="H148" s="320">
        <v>1500</v>
      </c>
      <c r="I148" s="136">
        <f t="shared" si="48"/>
        <v>0</v>
      </c>
      <c r="J148" s="137">
        <f t="shared" si="49"/>
        <v>0</v>
      </c>
      <c r="K148" s="137">
        <f t="shared" si="54"/>
        <v>0</v>
      </c>
      <c r="L148" s="73"/>
      <c r="N148" s="12"/>
      <c r="O148" s="29"/>
      <c r="P148" s="203"/>
      <c r="Q148" s="13"/>
    </row>
    <row r="149" spans="1:20" ht="14.25" thickBot="1">
      <c r="A149" s="7" t="s">
        <v>403</v>
      </c>
      <c r="B149" s="12"/>
      <c r="C149" s="79"/>
      <c r="D149" s="54"/>
      <c r="E149" s="54"/>
      <c r="F149" s="169"/>
      <c r="G149" s="56"/>
      <c r="H149" s="320"/>
      <c r="I149" s="57"/>
      <c r="J149" s="77"/>
      <c r="K149" s="77"/>
      <c r="L149" s="73"/>
      <c r="N149" s="12"/>
      <c r="O149" s="29"/>
      <c r="P149" s="203"/>
      <c r="Q149" s="13"/>
    </row>
    <row r="150" spans="1:20" ht="18" customHeight="1">
      <c r="A150" s="7" t="s">
        <v>403</v>
      </c>
      <c r="B150" s="12"/>
      <c r="C150" s="443" t="s">
        <v>505</v>
      </c>
      <c r="D150" s="444" t="s">
        <v>506</v>
      </c>
      <c r="E150" s="318">
        <f>SUM(I151:I164)</f>
        <v>0</v>
      </c>
      <c r="F150" s="178"/>
      <c r="G150" s="179"/>
      <c r="H150" s="180"/>
      <c r="I150" s="191"/>
      <c r="J150" s="192"/>
      <c r="K150" s="192"/>
      <c r="L150" s="73"/>
      <c r="N150" s="12"/>
      <c r="O150" s="204"/>
      <c r="P150" s="205"/>
      <c r="Q150" s="13"/>
    </row>
    <row r="151" spans="1:20">
      <c r="A151" s="7" t="s">
        <v>403</v>
      </c>
      <c r="B151" s="12"/>
      <c r="C151" s="79"/>
      <c r="D151" s="80"/>
      <c r="E151" s="54"/>
      <c r="F151" s="169"/>
      <c r="G151" s="56"/>
      <c r="H151" s="320"/>
      <c r="I151" s="57"/>
      <c r="J151" s="77"/>
      <c r="K151" s="77"/>
      <c r="L151" s="73"/>
      <c r="N151" s="12"/>
      <c r="O151" s="29"/>
      <c r="P151" s="203"/>
      <c r="Q151" s="13"/>
    </row>
    <row r="152" spans="1:20">
      <c r="A152" s="7" t="s">
        <v>403</v>
      </c>
      <c r="B152" s="12"/>
      <c r="C152" s="53" t="s">
        <v>1277</v>
      </c>
      <c r="D152" s="54" t="s">
        <v>507</v>
      </c>
      <c r="E152" s="54"/>
      <c r="F152" s="169">
        <v>0</v>
      </c>
      <c r="G152" s="56" t="s">
        <v>144</v>
      </c>
      <c r="H152" s="320">
        <v>10666</v>
      </c>
      <c r="I152" s="136">
        <f t="shared" ref="I152:I163" si="55">IF(ISNUMBER(F152), F152 * H152, 0)</f>
        <v>0</v>
      </c>
      <c r="J152" s="137">
        <f t="shared" ref="J152:J163" si="56">IF($J$8=0, 0, I152/$J$8)</f>
        <v>0</v>
      </c>
      <c r="K152" s="137">
        <f t="shared" si="50"/>
        <v>0</v>
      </c>
      <c r="L152" s="73"/>
      <c r="N152" s="12"/>
      <c r="O152" s="29"/>
      <c r="P152" s="203"/>
      <c r="Q152" s="13"/>
    </row>
    <row r="153" spans="1:20">
      <c r="A153" s="7" t="s">
        <v>403</v>
      </c>
      <c r="B153" s="12"/>
      <c r="C153" s="53" t="s">
        <v>1278</v>
      </c>
      <c r="D153" s="54" t="s">
        <v>508</v>
      </c>
      <c r="E153" s="54"/>
      <c r="F153" s="169">
        <v>0</v>
      </c>
      <c r="G153" s="56" t="s">
        <v>146</v>
      </c>
      <c r="H153" s="320">
        <v>26</v>
      </c>
      <c r="I153" s="136">
        <f t="shared" si="55"/>
        <v>0</v>
      </c>
      <c r="J153" s="137">
        <f t="shared" si="56"/>
        <v>0</v>
      </c>
      <c r="K153" s="137">
        <f t="shared" si="50"/>
        <v>0</v>
      </c>
      <c r="L153" s="73"/>
      <c r="N153" s="12"/>
      <c r="O153" s="29"/>
      <c r="P153" s="203"/>
      <c r="Q153" s="13"/>
    </row>
    <row r="154" spans="1:20">
      <c r="A154" s="7" t="s">
        <v>403</v>
      </c>
      <c r="B154" s="12"/>
      <c r="C154" s="53" t="s">
        <v>1279</v>
      </c>
      <c r="D154" s="54" t="s">
        <v>509</v>
      </c>
      <c r="E154" s="54"/>
      <c r="F154" s="169">
        <v>0</v>
      </c>
      <c r="G154" s="56" t="s">
        <v>146</v>
      </c>
      <c r="H154" s="320">
        <v>10</v>
      </c>
      <c r="I154" s="136">
        <f t="shared" si="55"/>
        <v>0</v>
      </c>
      <c r="J154" s="137">
        <f t="shared" si="56"/>
        <v>0</v>
      </c>
      <c r="K154" s="137">
        <f t="shared" si="50"/>
        <v>0</v>
      </c>
      <c r="L154" s="73"/>
      <c r="N154" s="12"/>
      <c r="O154" s="29"/>
      <c r="P154" s="203"/>
      <c r="Q154" s="13"/>
    </row>
    <row r="155" spans="1:20">
      <c r="A155" s="7" t="s">
        <v>403</v>
      </c>
      <c r="B155" s="12"/>
      <c r="C155" s="53" t="s">
        <v>1280</v>
      </c>
      <c r="D155" s="54" t="s">
        <v>510</v>
      </c>
      <c r="E155" s="54"/>
      <c r="F155" s="169">
        <v>0</v>
      </c>
      <c r="G155" s="56" t="s">
        <v>229</v>
      </c>
      <c r="H155" s="320">
        <v>5</v>
      </c>
      <c r="I155" s="136">
        <f t="shared" si="55"/>
        <v>0</v>
      </c>
      <c r="J155" s="137">
        <f t="shared" si="56"/>
        <v>0</v>
      </c>
      <c r="K155" s="137">
        <f t="shared" si="50"/>
        <v>0</v>
      </c>
      <c r="L155" s="73"/>
      <c r="N155" s="12"/>
      <c r="O155" s="29"/>
      <c r="P155" s="203"/>
      <c r="Q155" s="13"/>
    </row>
    <row r="156" spans="1:20">
      <c r="A156" s="7" t="s">
        <v>403</v>
      </c>
      <c r="B156" s="12"/>
      <c r="C156" s="53" t="s">
        <v>1281</v>
      </c>
      <c r="D156" s="54" t="s">
        <v>511</v>
      </c>
      <c r="E156" s="54"/>
      <c r="F156" s="169">
        <v>0</v>
      </c>
      <c r="G156" s="56" t="s">
        <v>146</v>
      </c>
      <c r="H156" s="320">
        <v>12</v>
      </c>
      <c r="I156" s="136">
        <f t="shared" si="55"/>
        <v>0</v>
      </c>
      <c r="J156" s="137">
        <f t="shared" si="56"/>
        <v>0</v>
      </c>
      <c r="K156" s="137">
        <f t="shared" si="50"/>
        <v>0</v>
      </c>
      <c r="L156" s="73"/>
      <c r="N156" s="12"/>
      <c r="O156" s="29"/>
      <c r="P156" s="203"/>
      <c r="Q156" s="13"/>
    </row>
    <row r="157" spans="1:20">
      <c r="A157" s="7" t="s">
        <v>403</v>
      </c>
      <c r="B157" s="12"/>
      <c r="C157" s="53" t="s">
        <v>1282</v>
      </c>
      <c r="D157" s="54" t="s">
        <v>512</v>
      </c>
      <c r="E157" s="54"/>
      <c r="F157" s="169">
        <v>0</v>
      </c>
      <c r="G157" s="56" t="s">
        <v>229</v>
      </c>
      <c r="H157" s="320">
        <v>5</v>
      </c>
      <c r="I157" s="136">
        <f t="shared" si="55"/>
        <v>0</v>
      </c>
      <c r="J157" s="137">
        <f t="shared" si="56"/>
        <v>0</v>
      </c>
      <c r="K157" s="137">
        <f t="shared" si="50"/>
        <v>0</v>
      </c>
      <c r="L157" s="73"/>
      <c r="N157" s="12"/>
      <c r="O157" s="29"/>
      <c r="P157" s="203"/>
      <c r="Q157" s="13"/>
    </row>
    <row r="158" spans="1:20">
      <c r="A158" s="7" t="s">
        <v>403</v>
      </c>
      <c r="B158" s="12"/>
      <c r="C158" s="53" t="s">
        <v>1283</v>
      </c>
      <c r="D158" s="54" t="s">
        <v>513</v>
      </c>
      <c r="E158" s="54"/>
      <c r="F158" s="169">
        <v>0</v>
      </c>
      <c r="G158" s="56" t="s">
        <v>229</v>
      </c>
      <c r="H158" s="320">
        <v>25</v>
      </c>
      <c r="I158" s="136">
        <f t="shared" si="55"/>
        <v>0</v>
      </c>
      <c r="J158" s="137">
        <f t="shared" si="56"/>
        <v>0</v>
      </c>
      <c r="K158" s="137">
        <f t="shared" si="50"/>
        <v>0</v>
      </c>
      <c r="L158" s="73"/>
      <c r="N158" s="12"/>
      <c r="O158" s="29"/>
      <c r="P158" s="203"/>
      <c r="Q158" s="13"/>
    </row>
    <row r="159" spans="1:20">
      <c r="A159" s="7" t="s">
        <v>403</v>
      </c>
      <c r="B159" s="12"/>
      <c r="C159" s="53" t="s">
        <v>1284</v>
      </c>
      <c r="D159" s="54" t="s">
        <v>514</v>
      </c>
      <c r="E159" s="54"/>
      <c r="F159" s="169">
        <v>0</v>
      </c>
      <c r="G159" s="56" t="s">
        <v>515</v>
      </c>
      <c r="H159" s="320">
        <v>36</v>
      </c>
      <c r="I159" s="136">
        <f t="shared" si="55"/>
        <v>0</v>
      </c>
      <c r="J159" s="137">
        <f t="shared" si="56"/>
        <v>0</v>
      </c>
      <c r="K159" s="137">
        <f t="shared" si="50"/>
        <v>0</v>
      </c>
      <c r="L159" s="73"/>
      <c r="N159" s="12"/>
      <c r="O159" s="29"/>
      <c r="P159" s="203"/>
      <c r="Q159" s="13"/>
      <c r="T159" s="389">
        <f>H159/9</f>
        <v>4</v>
      </c>
    </row>
    <row r="160" spans="1:20">
      <c r="A160" s="7" t="s">
        <v>403</v>
      </c>
      <c r="B160" s="12"/>
      <c r="C160" s="53" t="s">
        <v>1285</v>
      </c>
      <c r="D160" s="54" t="s">
        <v>516</v>
      </c>
      <c r="E160" s="54"/>
      <c r="F160" s="169">
        <v>0</v>
      </c>
      <c r="G160" s="56" t="s">
        <v>515</v>
      </c>
      <c r="H160" s="320">
        <v>55</v>
      </c>
      <c r="I160" s="136">
        <f t="shared" si="55"/>
        <v>0</v>
      </c>
      <c r="J160" s="137">
        <f t="shared" si="56"/>
        <v>0</v>
      </c>
      <c r="K160" s="137">
        <f t="shared" si="50"/>
        <v>0</v>
      </c>
      <c r="L160" s="73"/>
      <c r="N160" s="12"/>
      <c r="O160" s="29"/>
      <c r="P160" s="203"/>
      <c r="Q160" s="13"/>
    </row>
    <row r="161" spans="1:17">
      <c r="A161" s="7" t="s">
        <v>403</v>
      </c>
      <c r="B161" s="12"/>
      <c r="C161" s="53" t="s">
        <v>1286</v>
      </c>
      <c r="D161" s="54" t="s">
        <v>517</v>
      </c>
      <c r="E161" s="54"/>
      <c r="F161" s="169">
        <v>0</v>
      </c>
      <c r="G161" s="56" t="s">
        <v>146</v>
      </c>
      <c r="H161" s="320">
        <v>2</v>
      </c>
      <c r="I161" s="136">
        <f t="shared" si="55"/>
        <v>0</v>
      </c>
      <c r="J161" s="137">
        <f t="shared" si="56"/>
        <v>0</v>
      </c>
      <c r="K161" s="137">
        <f t="shared" si="50"/>
        <v>0</v>
      </c>
      <c r="L161" s="73"/>
      <c r="N161" s="12"/>
      <c r="O161" s="29"/>
      <c r="P161" s="203"/>
      <c r="Q161" s="13"/>
    </row>
    <row r="162" spans="1:17">
      <c r="A162" s="7" t="s">
        <v>403</v>
      </c>
      <c r="B162" s="12"/>
      <c r="C162" s="53" t="s">
        <v>1287</v>
      </c>
      <c r="D162" s="54" t="s">
        <v>518</v>
      </c>
      <c r="E162" s="54"/>
      <c r="F162" s="169">
        <v>0</v>
      </c>
      <c r="G162" s="56" t="s">
        <v>229</v>
      </c>
      <c r="H162" s="320">
        <v>0</v>
      </c>
      <c r="I162" s="136">
        <f t="shared" si="55"/>
        <v>0</v>
      </c>
      <c r="J162" s="137">
        <f t="shared" si="56"/>
        <v>0</v>
      </c>
      <c r="K162" s="137">
        <f t="shared" si="50"/>
        <v>0</v>
      </c>
      <c r="L162" s="73"/>
      <c r="N162" s="12"/>
      <c r="O162" s="29"/>
      <c r="P162" s="203"/>
      <c r="Q162" s="13"/>
    </row>
    <row r="163" spans="1:17">
      <c r="A163" s="7" t="s">
        <v>403</v>
      </c>
      <c r="B163" s="12"/>
      <c r="C163" s="53" t="s">
        <v>1288</v>
      </c>
      <c r="D163" s="54" t="s">
        <v>519</v>
      </c>
      <c r="E163" s="54"/>
      <c r="F163" s="169">
        <v>0</v>
      </c>
      <c r="G163" s="56" t="s">
        <v>146</v>
      </c>
      <c r="H163" s="320">
        <v>8</v>
      </c>
      <c r="I163" s="136">
        <f t="shared" si="55"/>
        <v>0</v>
      </c>
      <c r="J163" s="137">
        <f t="shared" si="56"/>
        <v>0</v>
      </c>
      <c r="K163" s="137">
        <f t="shared" si="50"/>
        <v>0</v>
      </c>
      <c r="L163" s="73"/>
      <c r="N163" s="12"/>
      <c r="O163" s="29"/>
      <c r="P163" s="203"/>
      <c r="Q163" s="13"/>
    </row>
    <row r="164" spans="1:17" ht="14.25" thickBot="1">
      <c r="A164" s="7" t="s">
        <v>403</v>
      </c>
      <c r="B164" s="12"/>
      <c r="C164" s="79"/>
      <c r="D164" s="54"/>
      <c r="E164" s="54"/>
      <c r="F164" s="169"/>
      <c r="G164" s="56"/>
      <c r="H164" s="320"/>
      <c r="I164" s="57"/>
      <c r="J164" s="77"/>
      <c r="K164" s="77"/>
      <c r="L164" s="73"/>
      <c r="N164" s="12"/>
      <c r="O164" s="29"/>
      <c r="P164" s="203"/>
      <c r="Q164" s="13"/>
    </row>
    <row r="165" spans="1:17" ht="18" customHeight="1">
      <c r="A165" s="7" t="s">
        <v>403</v>
      </c>
      <c r="B165" s="12"/>
      <c r="C165" s="443" t="s">
        <v>520</v>
      </c>
      <c r="D165" s="444" t="s">
        <v>506</v>
      </c>
      <c r="E165" s="318">
        <f>SUM(I166:I189)</f>
        <v>0</v>
      </c>
      <c r="F165" s="178"/>
      <c r="G165" s="179"/>
      <c r="H165" s="180"/>
      <c r="I165" s="191"/>
      <c r="J165" s="192"/>
      <c r="K165" s="192"/>
      <c r="L165" s="73"/>
      <c r="N165" s="12"/>
      <c r="O165" s="204"/>
      <c r="P165" s="205"/>
      <c r="Q165" s="13"/>
    </row>
    <row r="166" spans="1:17">
      <c r="A166" s="7" t="s">
        <v>403</v>
      </c>
      <c r="B166" s="12"/>
      <c r="C166" s="79"/>
      <c r="D166" s="80"/>
      <c r="E166" s="54"/>
      <c r="F166" s="169"/>
      <c r="G166" s="56"/>
      <c r="H166" s="320"/>
      <c r="I166" s="57"/>
      <c r="J166" s="77"/>
      <c r="K166" s="77"/>
      <c r="L166" s="73"/>
      <c r="N166" s="12"/>
      <c r="O166" s="29"/>
      <c r="P166" s="203"/>
      <c r="Q166" s="13"/>
    </row>
    <row r="167" spans="1:17">
      <c r="A167" s="7" t="s">
        <v>403</v>
      </c>
      <c r="B167" s="12"/>
      <c r="C167" s="53" t="s">
        <v>1289</v>
      </c>
      <c r="D167" s="54" t="s">
        <v>521</v>
      </c>
      <c r="E167" s="54"/>
      <c r="F167" s="169">
        <v>0</v>
      </c>
      <c r="G167" s="56" t="s">
        <v>229</v>
      </c>
      <c r="H167" s="320">
        <v>0</v>
      </c>
      <c r="I167" s="136">
        <f t="shared" ref="I167:I188" si="57">IF(ISNUMBER(F167), F167 * H167, 0)</f>
        <v>0</v>
      </c>
      <c r="J167" s="137">
        <f t="shared" ref="J167:J188" si="58">IF($J$8=0, 0, I167/$J$8)</f>
        <v>0</v>
      </c>
      <c r="K167" s="137">
        <f t="shared" ref="K167" si="59">IF($K$8=0, 0, I167/$K$8)</f>
        <v>0</v>
      </c>
      <c r="L167" s="73"/>
      <c r="N167" s="12"/>
      <c r="O167" s="29"/>
      <c r="P167" s="203"/>
      <c r="Q167" s="13"/>
    </row>
    <row r="168" spans="1:17">
      <c r="A168" s="7" t="s">
        <v>403</v>
      </c>
      <c r="B168" s="12"/>
      <c r="C168" s="53" t="s">
        <v>1290</v>
      </c>
      <c r="D168" s="54" t="s">
        <v>522</v>
      </c>
      <c r="E168" s="54"/>
      <c r="F168" s="169">
        <v>0</v>
      </c>
      <c r="G168" s="56" t="s">
        <v>144</v>
      </c>
      <c r="H168" s="320">
        <v>250</v>
      </c>
      <c r="I168" s="136">
        <f t="shared" si="57"/>
        <v>0</v>
      </c>
      <c r="J168" s="137">
        <f t="shared" si="58"/>
        <v>0</v>
      </c>
      <c r="K168" s="137">
        <f t="shared" si="50"/>
        <v>0</v>
      </c>
      <c r="L168" s="73"/>
      <c r="N168" s="12"/>
      <c r="O168" s="29"/>
      <c r="P168" s="203"/>
      <c r="Q168" s="13"/>
    </row>
    <row r="169" spans="1:17">
      <c r="B169" s="12"/>
      <c r="C169" s="53" t="s">
        <v>1291</v>
      </c>
      <c r="D169" s="54" t="s">
        <v>523</v>
      </c>
      <c r="E169" s="54"/>
      <c r="F169" s="169">
        <v>0</v>
      </c>
      <c r="G169" s="56" t="s">
        <v>144</v>
      </c>
      <c r="H169" s="320">
        <v>7500</v>
      </c>
      <c r="I169" s="136">
        <f t="shared" si="57"/>
        <v>0</v>
      </c>
      <c r="J169" s="137">
        <f t="shared" si="58"/>
        <v>0</v>
      </c>
      <c r="K169" s="137">
        <f t="shared" si="50"/>
        <v>0</v>
      </c>
      <c r="L169" s="73"/>
      <c r="N169" s="12"/>
      <c r="O169" s="29"/>
      <c r="P169" s="203"/>
      <c r="Q169" s="13"/>
    </row>
    <row r="170" spans="1:17">
      <c r="B170" s="12"/>
      <c r="C170" s="53" t="s">
        <v>1292</v>
      </c>
      <c r="D170" s="54" t="s">
        <v>524</v>
      </c>
      <c r="E170" s="54"/>
      <c r="F170" s="169">
        <v>0</v>
      </c>
      <c r="G170" s="56" t="s">
        <v>144</v>
      </c>
      <c r="H170" s="320">
        <v>25000</v>
      </c>
      <c r="I170" s="136">
        <f t="shared" si="57"/>
        <v>0</v>
      </c>
      <c r="J170" s="137">
        <f t="shared" si="58"/>
        <v>0</v>
      </c>
      <c r="K170" s="137">
        <f t="shared" si="50"/>
        <v>0</v>
      </c>
      <c r="L170" s="73"/>
      <c r="N170" s="12"/>
      <c r="O170" s="29"/>
      <c r="P170" s="203"/>
      <c r="Q170" s="13"/>
    </row>
    <row r="171" spans="1:17">
      <c r="B171" s="12"/>
      <c r="C171" s="53" t="s">
        <v>1293</v>
      </c>
      <c r="D171" s="54" t="s">
        <v>525</v>
      </c>
      <c r="E171" s="54"/>
      <c r="F171" s="169">
        <v>0</v>
      </c>
      <c r="G171" s="56" t="s">
        <v>229</v>
      </c>
      <c r="H171" s="320">
        <v>1500</v>
      </c>
      <c r="I171" s="136">
        <f t="shared" si="57"/>
        <v>0</v>
      </c>
      <c r="J171" s="137">
        <f t="shared" si="58"/>
        <v>0</v>
      </c>
      <c r="K171" s="137">
        <f t="shared" si="50"/>
        <v>0</v>
      </c>
      <c r="L171" s="73"/>
      <c r="N171" s="12"/>
      <c r="O171" s="29"/>
      <c r="P171" s="203"/>
      <c r="Q171" s="13"/>
    </row>
    <row r="172" spans="1:17">
      <c r="A172" s="7" t="s">
        <v>403</v>
      </c>
      <c r="B172" s="12"/>
      <c r="C172" s="53" t="s">
        <v>1294</v>
      </c>
      <c r="D172" s="54" t="s">
        <v>526</v>
      </c>
      <c r="E172" s="54"/>
      <c r="F172" s="169">
        <v>0</v>
      </c>
      <c r="G172" s="56" t="s">
        <v>144</v>
      </c>
      <c r="H172" s="320">
        <v>6500</v>
      </c>
      <c r="I172" s="136">
        <f t="shared" si="57"/>
        <v>0</v>
      </c>
      <c r="J172" s="137">
        <f t="shared" si="58"/>
        <v>0</v>
      </c>
      <c r="K172" s="137">
        <f t="shared" si="50"/>
        <v>0</v>
      </c>
      <c r="L172" s="73"/>
      <c r="N172" s="12"/>
      <c r="O172" s="29"/>
      <c r="P172" s="203"/>
      <c r="Q172" s="13"/>
    </row>
    <row r="173" spans="1:17">
      <c r="B173" s="12"/>
      <c r="C173" s="53" t="s">
        <v>1295</v>
      </c>
      <c r="D173" s="54" t="s">
        <v>527</v>
      </c>
      <c r="E173" s="54"/>
      <c r="F173" s="169">
        <v>0</v>
      </c>
      <c r="G173" s="56" t="s">
        <v>144</v>
      </c>
      <c r="H173" s="320">
        <v>1350</v>
      </c>
      <c r="I173" s="136">
        <f t="shared" si="57"/>
        <v>0</v>
      </c>
      <c r="J173" s="137">
        <f t="shared" si="58"/>
        <v>0</v>
      </c>
      <c r="K173" s="137">
        <f t="shared" si="50"/>
        <v>0</v>
      </c>
      <c r="L173" s="73"/>
      <c r="N173" s="12"/>
      <c r="O173" s="29"/>
      <c r="P173" s="203"/>
      <c r="Q173" s="13"/>
    </row>
    <row r="174" spans="1:17">
      <c r="A174" s="7" t="s">
        <v>403</v>
      </c>
      <c r="B174" s="12"/>
      <c r="C174" s="53" t="s">
        <v>1296</v>
      </c>
      <c r="D174" s="54" t="s">
        <v>528</v>
      </c>
      <c r="E174" s="54"/>
      <c r="F174" s="169">
        <v>0</v>
      </c>
      <c r="G174" s="56" t="s">
        <v>229</v>
      </c>
      <c r="H174" s="320">
        <v>0</v>
      </c>
      <c r="I174" s="136">
        <f t="shared" si="57"/>
        <v>0</v>
      </c>
      <c r="J174" s="137">
        <f t="shared" si="58"/>
        <v>0</v>
      </c>
      <c r="K174" s="137">
        <f t="shared" si="50"/>
        <v>0</v>
      </c>
      <c r="L174" s="73"/>
      <c r="N174" s="12"/>
      <c r="O174" s="29"/>
      <c r="P174" s="203"/>
      <c r="Q174" s="13"/>
    </row>
    <row r="175" spans="1:17">
      <c r="A175" s="7" t="s">
        <v>403</v>
      </c>
      <c r="B175" s="12"/>
      <c r="C175" s="53" t="s">
        <v>1297</v>
      </c>
      <c r="D175" s="54" t="s">
        <v>529</v>
      </c>
      <c r="E175" s="54"/>
      <c r="F175" s="169">
        <v>0</v>
      </c>
      <c r="G175" s="56" t="s">
        <v>144</v>
      </c>
      <c r="H175" s="320">
        <v>35</v>
      </c>
      <c r="I175" s="136">
        <f t="shared" si="57"/>
        <v>0</v>
      </c>
      <c r="J175" s="137">
        <f t="shared" si="58"/>
        <v>0</v>
      </c>
      <c r="K175" s="137">
        <f t="shared" si="50"/>
        <v>0</v>
      </c>
      <c r="L175" s="73"/>
      <c r="N175" s="12"/>
      <c r="O175" s="29"/>
      <c r="P175" s="203"/>
      <c r="Q175" s="13"/>
    </row>
    <row r="176" spans="1:17">
      <c r="A176" s="7" t="s">
        <v>403</v>
      </c>
      <c r="B176" s="12"/>
      <c r="C176" s="53" t="s">
        <v>1298</v>
      </c>
      <c r="D176" s="54" t="s">
        <v>530</v>
      </c>
      <c r="E176" s="54"/>
      <c r="F176" s="169">
        <v>0</v>
      </c>
      <c r="G176" s="56" t="s">
        <v>144</v>
      </c>
      <c r="H176" s="320">
        <v>275</v>
      </c>
      <c r="I176" s="136">
        <f t="shared" si="57"/>
        <v>0</v>
      </c>
      <c r="J176" s="137">
        <f t="shared" si="58"/>
        <v>0</v>
      </c>
      <c r="K176" s="137">
        <f t="shared" si="50"/>
        <v>0</v>
      </c>
      <c r="L176" s="73"/>
      <c r="N176" s="12"/>
      <c r="O176" s="29"/>
      <c r="P176" s="203"/>
      <c r="Q176" s="13"/>
    </row>
    <row r="177" spans="1:17">
      <c r="B177" s="12"/>
      <c r="C177" s="53" t="s">
        <v>1299</v>
      </c>
      <c r="D177" s="54" t="s">
        <v>531</v>
      </c>
      <c r="E177" s="54"/>
      <c r="F177" s="169">
        <v>0</v>
      </c>
      <c r="G177" s="56" t="s">
        <v>144</v>
      </c>
      <c r="H177" s="320">
        <v>1800</v>
      </c>
      <c r="I177" s="136">
        <f t="shared" si="57"/>
        <v>0</v>
      </c>
      <c r="J177" s="137">
        <f t="shared" si="58"/>
        <v>0</v>
      </c>
      <c r="K177" s="137">
        <f t="shared" si="50"/>
        <v>0</v>
      </c>
      <c r="L177" s="73"/>
      <c r="N177" s="12"/>
      <c r="O177" s="29"/>
      <c r="P177" s="203"/>
      <c r="Q177" s="13"/>
    </row>
    <row r="178" spans="1:17">
      <c r="A178" s="7" t="s">
        <v>403</v>
      </c>
      <c r="B178" s="12"/>
      <c r="C178" s="53" t="s">
        <v>1300</v>
      </c>
      <c r="D178" s="54" t="s">
        <v>532</v>
      </c>
      <c r="E178" s="54"/>
      <c r="F178" s="169">
        <v>0</v>
      </c>
      <c r="G178" s="56" t="s">
        <v>144</v>
      </c>
      <c r="H178" s="320">
        <v>3200</v>
      </c>
      <c r="I178" s="136">
        <f t="shared" si="57"/>
        <v>0</v>
      </c>
      <c r="J178" s="137">
        <f t="shared" si="58"/>
        <v>0</v>
      </c>
      <c r="K178" s="137">
        <f t="shared" si="50"/>
        <v>0</v>
      </c>
      <c r="L178" s="73"/>
      <c r="N178" s="12"/>
      <c r="O178" s="29"/>
      <c r="P178" s="203"/>
      <c r="Q178" s="13"/>
    </row>
    <row r="179" spans="1:17">
      <c r="B179" s="12"/>
      <c r="C179" s="53" t="s">
        <v>1300</v>
      </c>
      <c r="D179" s="54" t="s">
        <v>533</v>
      </c>
      <c r="E179" s="54"/>
      <c r="F179" s="169">
        <v>0</v>
      </c>
      <c r="G179" s="56" t="s">
        <v>144</v>
      </c>
      <c r="H179" s="320">
        <v>8500</v>
      </c>
      <c r="I179" s="136">
        <f t="shared" si="57"/>
        <v>0</v>
      </c>
      <c r="J179" s="137">
        <f t="shared" si="58"/>
        <v>0</v>
      </c>
      <c r="K179" s="137">
        <f t="shared" ref="K179:K224" si="60">IF($K$8=0, 0, I179/$K$8)</f>
        <v>0</v>
      </c>
      <c r="L179" s="73"/>
      <c r="N179" s="12"/>
      <c r="O179" s="29"/>
      <c r="P179" s="203"/>
      <c r="Q179" s="13"/>
    </row>
    <row r="180" spans="1:17">
      <c r="B180" s="12"/>
      <c r="C180" s="53" t="s">
        <v>1301</v>
      </c>
      <c r="D180" s="54" t="s">
        <v>534</v>
      </c>
      <c r="E180" s="54"/>
      <c r="F180" s="169">
        <v>0</v>
      </c>
      <c r="G180" s="56" t="s">
        <v>144</v>
      </c>
      <c r="H180" s="320">
        <v>8500</v>
      </c>
      <c r="I180" s="136">
        <f t="shared" si="57"/>
        <v>0</v>
      </c>
      <c r="J180" s="137">
        <f t="shared" si="58"/>
        <v>0</v>
      </c>
      <c r="K180" s="137">
        <f t="shared" si="60"/>
        <v>0</v>
      </c>
      <c r="L180" s="73"/>
      <c r="N180" s="12"/>
      <c r="O180" s="29"/>
      <c r="P180" s="203"/>
      <c r="Q180" s="13"/>
    </row>
    <row r="181" spans="1:17">
      <c r="A181" s="7" t="s">
        <v>403</v>
      </c>
      <c r="B181" s="12"/>
      <c r="C181" s="53" t="s">
        <v>1302</v>
      </c>
      <c r="D181" s="54" t="s">
        <v>535</v>
      </c>
      <c r="E181" s="54"/>
      <c r="F181" s="169">
        <v>0</v>
      </c>
      <c r="G181" s="56" t="s">
        <v>144</v>
      </c>
      <c r="H181" s="320">
        <v>250</v>
      </c>
      <c r="I181" s="136">
        <f t="shared" si="57"/>
        <v>0</v>
      </c>
      <c r="J181" s="137">
        <f t="shared" si="58"/>
        <v>0</v>
      </c>
      <c r="K181" s="137">
        <f t="shared" si="60"/>
        <v>0</v>
      </c>
      <c r="L181" s="73"/>
      <c r="N181" s="12"/>
      <c r="O181" s="29"/>
      <c r="P181" s="203"/>
      <c r="Q181" s="13"/>
    </row>
    <row r="182" spans="1:17">
      <c r="A182" s="7" t="s">
        <v>403</v>
      </c>
      <c r="B182" s="12"/>
      <c r="C182" s="53" t="s">
        <v>1303</v>
      </c>
      <c r="D182" s="54" t="s">
        <v>536</v>
      </c>
      <c r="E182" s="54"/>
      <c r="F182" s="169">
        <v>0</v>
      </c>
      <c r="G182" s="56" t="s">
        <v>144</v>
      </c>
      <c r="H182" s="320">
        <v>100</v>
      </c>
      <c r="I182" s="136">
        <f t="shared" si="57"/>
        <v>0</v>
      </c>
      <c r="J182" s="137">
        <f t="shared" si="58"/>
        <v>0</v>
      </c>
      <c r="K182" s="137">
        <f t="shared" si="60"/>
        <v>0</v>
      </c>
      <c r="L182" s="73"/>
      <c r="N182" s="12"/>
      <c r="O182" s="29"/>
      <c r="P182" s="203"/>
      <c r="Q182" s="13"/>
    </row>
    <row r="183" spans="1:17">
      <c r="B183" s="12"/>
      <c r="C183" s="53" t="s">
        <v>1304</v>
      </c>
      <c r="D183" s="54" t="s">
        <v>537</v>
      </c>
      <c r="E183" s="54"/>
      <c r="F183" s="169">
        <v>0</v>
      </c>
      <c r="G183" s="56" t="s">
        <v>144</v>
      </c>
      <c r="H183" s="320">
        <v>148</v>
      </c>
      <c r="I183" s="136">
        <f t="shared" si="57"/>
        <v>0</v>
      </c>
      <c r="J183" s="137">
        <f t="shared" si="58"/>
        <v>0</v>
      </c>
      <c r="K183" s="137">
        <f t="shared" si="60"/>
        <v>0</v>
      </c>
      <c r="L183" s="73"/>
      <c r="N183" s="12"/>
      <c r="O183" s="29"/>
      <c r="P183" s="203"/>
      <c r="Q183" s="13"/>
    </row>
    <row r="184" spans="1:17">
      <c r="B184" s="12"/>
      <c r="C184" s="53" t="s">
        <v>1305</v>
      </c>
      <c r="D184" s="54" t="s">
        <v>538</v>
      </c>
      <c r="E184" s="54"/>
      <c r="F184" s="169">
        <v>0</v>
      </c>
      <c r="G184" s="56" t="s">
        <v>229</v>
      </c>
      <c r="H184" s="320">
        <v>0</v>
      </c>
      <c r="I184" s="136">
        <f t="shared" si="57"/>
        <v>0</v>
      </c>
      <c r="J184" s="137">
        <f t="shared" si="58"/>
        <v>0</v>
      </c>
      <c r="K184" s="137">
        <f t="shared" si="60"/>
        <v>0</v>
      </c>
      <c r="L184" s="73"/>
      <c r="N184" s="12"/>
      <c r="O184" s="29"/>
      <c r="P184" s="203"/>
      <c r="Q184" s="13"/>
    </row>
    <row r="185" spans="1:17">
      <c r="A185" s="7" t="s">
        <v>403</v>
      </c>
      <c r="B185" s="12"/>
      <c r="C185" s="53" t="s">
        <v>1306</v>
      </c>
      <c r="D185" s="54" t="s">
        <v>539</v>
      </c>
      <c r="E185" s="54"/>
      <c r="F185" s="169">
        <v>0</v>
      </c>
      <c r="G185" s="56" t="s">
        <v>144</v>
      </c>
      <c r="H185" s="320">
        <v>252</v>
      </c>
      <c r="I185" s="136">
        <f t="shared" si="57"/>
        <v>0</v>
      </c>
      <c r="J185" s="137">
        <f t="shared" si="58"/>
        <v>0</v>
      </c>
      <c r="K185" s="137">
        <f t="shared" si="60"/>
        <v>0</v>
      </c>
      <c r="L185" s="73"/>
      <c r="N185" s="12"/>
      <c r="O185" s="29"/>
      <c r="P185" s="203"/>
      <c r="Q185" s="13"/>
    </row>
    <row r="186" spans="1:17">
      <c r="A186" s="7" t="s">
        <v>403</v>
      </c>
      <c r="B186" s="12"/>
      <c r="C186" s="53" t="s">
        <v>1307</v>
      </c>
      <c r="D186" s="54" t="s">
        <v>540</v>
      </c>
      <c r="E186" s="54"/>
      <c r="F186" s="169">
        <v>0</v>
      </c>
      <c r="G186" s="56" t="s">
        <v>144</v>
      </c>
      <c r="H186" s="320">
        <v>3500</v>
      </c>
      <c r="I186" s="136">
        <f t="shared" si="57"/>
        <v>0</v>
      </c>
      <c r="J186" s="137">
        <f t="shared" si="58"/>
        <v>0</v>
      </c>
      <c r="K186" s="137">
        <f t="shared" si="60"/>
        <v>0</v>
      </c>
      <c r="L186" s="73"/>
      <c r="N186" s="12"/>
      <c r="O186" s="29"/>
      <c r="P186" s="203"/>
      <c r="Q186" s="13"/>
    </row>
    <row r="187" spans="1:17">
      <c r="B187" s="12"/>
      <c r="C187" s="53" t="s">
        <v>1308</v>
      </c>
      <c r="D187" s="54" t="s">
        <v>541</v>
      </c>
      <c r="E187" s="54"/>
      <c r="F187" s="169">
        <v>0</v>
      </c>
      <c r="G187" s="56" t="s">
        <v>229</v>
      </c>
      <c r="H187" s="320">
        <v>0</v>
      </c>
      <c r="I187" s="136">
        <f t="shared" si="57"/>
        <v>0</v>
      </c>
      <c r="J187" s="137">
        <f t="shared" si="58"/>
        <v>0</v>
      </c>
      <c r="K187" s="137">
        <f t="shared" si="60"/>
        <v>0</v>
      </c>
      <c r="L187" s="73"/>
      <c r="N187" s="12"/>
      <c r="O187" s="29"/>
      <c r="P187" s="203"/>
      <c r="Q187" s="13"/>
    </row>
    <row r="188" spans="1:17">
      <c r="B188" s="12"/>
      <c r="C188" s="53" t="s">
        <v>1309</v>
      </c>
      <c r="D188" s="54" t="s">
        <v>542</v>
      </c>
      <c r="E188" s="54"/>
      <c r="F188" s="169">
        <v>0</v>
      </c>
      <c r="G188" s="56" t="s">
        <v>144</v>
      </c>
      <c r="H188" s="320">
        <v>80000</v>
      </c>
      <c r="I188" s="136">
        <f t="shared" si="57"/>
        <v>0</v>
      </c>
      <c r="J188" s="137">
        <f t="shared" si="58"/>
        <v>0</v>
      </c>
      <c r="K188" s="137">
        <f t="shared" si="60"/>
        <v>0</v>
      </c>
      <c r="L188" s="73"/>
      <c r="N188" s="12"/>
      <c r="O188" s="29"/>
      <c r="P188" s="203"/>
      <c r="Q188" s="13"/>
    </row>
    <row r="189" spans="1:17" ht="14.25" thickBot="1">
      <c r="A189" s="7" t="s">
        <v>403</v>
      </c>
      <c r="B189" s="12"/>
      <c r="C189" s="79"/>
      <c r="D189" s="54"/>
      <c r="E189" s="54"/>
      <c r="F189" s="169"/>
      <c r="G189" s="56"/>
      <c r="H189" s="320"/>
      <c r="I189" s="57"/>
      <c r="J189" s="77"/>
      <c r="K189" s="77"/>
      <c r="L189" s="73"/>
      <c r="N189" s="12"/>
      <c r="O189" s="29"/>
      <c r="P189" s="203"/>
      <c r="Q189" s="13"/>
    </row>
    <row r="190" spans="1:17" ht="18" customHeight="1">
      <c r="A190" s="7" t="s">
        <v>403</v>
      </c>
      <c r="B190" s="12"/>
      <c r="C190" s="443" t="s">
        <v>543</v>
      </c>
      <c r="D190" s="444" t="s">
        <v>506</v>
      </c>
      <c r="E190" s="318">
        <f>SUM(I191:I199)</f>
        <v>0</v>
      </c>
      <c r="F190" s="178"/>
      <c r="G190" s="179"/>
      <c r="H190" s="180"/>
      <c r="I190" s="191"/>
      <c r="J190" s="192"/>
      <c r="K190" s="192"/>
      <c r="L190" s="73"/>
      <c r="N190" s="12"/>
      <c r="O190" s="204"/>
      <c r="P190" s="205"/>
      <c r="Q190" s="13"/>
    </row>
    <row r="191" spans="1:17">
      <c r="A191" s="7" t="s">
        <v>403</v>
      </c>
      <c r="B191" s="12"/>
      <c r="C191" s="79"/>
      <c r="D191" s="80"/>
      <c r="E191" s="54"/>
      <c r="F191" s="169"/>
      <c r="G191" s="56"/>
      <c r="H191" s="320"/>
      <c r="I191" s="57"/>
      <c r="J191" s="77"/>
      <c r="K191" s="77"/>
      <c r="L191" s="73"/>
      <c r="N191" s="12"/>
      <c r="O191" s="29"/>
      <c r="P191" s="203"/>
      <c r="Q191" s="13"/>
    </row>
    <row r="192" spans="1:17">
      <c r="A192" s="7" t="s">
        <v>403</v>
      </c>
      <c r="B192" s="12"/>
      <c r="C192" s="53" t="s">
        <v>1310</v>
      </c>
      <c r="D192" s="54" t="s">
        <v>544</v>
      </c>
      <c r="E192" s="54"/>
      <c r="F192" s="169">
        <v>0</v>
      </c>
      <c r="G192" s="56" t="s">
        <v>229</v>
      </c>
      <c r="H192" s="320">
        <v>1</v>
      </c>
      <c r="I192" s="136">
        <f t="shared" ref="I192:I198" si="61">IF(ISNUMBER(F192), F192 * H192, 0)</f>
        <v>0</v>
      </c>
      <c r="J192" s="137">
        <f t="shared" ref="J192:J198" si="62">IF($J$8=0, 0, I192/$J$8)</f>
        <v>0</v>
      </c>
      <c r="K192" s="137">
        <f t="shared" si="60"/>
        <v>0</v>
      </c>
      <c r="L192" s="73"/>
      <c r="N192" s="12"/>
      <c r="O192" s="29"/>
      <c r="P192" s="203"/>
      <c r="Q192" s="13"/>
    </row>
    <row r="193" spans="1:17">
      <c r="B193" s="12"/>
      <c r="C193" s="53" t="s">
        <v>1311</v>
      </c>
      <c r="D193" s="54" t="s">
        <v>545</v>
      </c>
      <c r="E193" s="54"/>
      <c r="F193" s="169">
        <v>0</v>
      </c>
      <c r="G193" s="56" t="s">
        <v>229</v>
      </c>
      <c r="H193" s="320">
        <v>75000</v>
      </c>
      <c r="I193" s="136">
        <f t="shared" si="61"/>
        <v>0</v>
      </c>
      <c r="J193" s="137">
        <f t="shared" si="62"/>
        <v>0</v>
      </c>
      <c r="K193" s="137">
        <f t="shared" si="60"/>
        <v>0</v>
      </c>
      <c r="L193" s="73"/>
      <c r="N193" s="12"/>
      <c r="O193" s="29"/>
      <c r="P193" s="203"/>
      <c r="Q193" s="13"/>
    </row>
    <row r="194" spans="1:17">
      <c r="A194" s="7" t="s">
        <v>403</v>
      </c>
      <c r="B194" s="12"/>
      <c r="C194" s="53" t="s">
        <v>1312</v>
      </c>
      <c r="D194" s="54" t="s">
        <v>546</v>
      </c>
      <c r="E194" s="54"/>
      <c r="F194" s="169">
        <v>0</v>
      </c>
      <c r="G194" s="56" t="s">
        <v>144</v>
      </c>
      <c r="H194" s="320">
        <v>6100</v>
      </c>
      <c r="I194" s="136">
        <f t="shared" si="61"/>
        <v>0</v>
      </c>
      <c r="J194" s="137">
        <f t="shared" si="62"/>
        <v>0</v>
      </c>
      <c r="K194" s="137">
        <f t="shared" si="60"/>
        <v>0</v>
      </c>
      <c r="L194" s="73"/>
      <c r="N194" s="12"/>
      <c r="O194" s="29"/>
      <c r="P194" s="203"/>
      <c r="Q194" s="13"/>
    </row>
    <row r="195" spans="1:17">
      <c r="B195" s="12"/>
      <c r="C195" s="53" t="s">
        <v>1313</v>
      </c>
      <c r="D195" s="54" t="s">
        <v>547</v>
      </c>
      <c r="E195" s="54"/>
      <c r="F195" s="169">
        <v>0</v>
      </c>
      <c r="G195" s="56" t="s">
        <v>144</v>
      </c>
      <c r="H195" s="320">
        <v>3700</v>
      </c>
      <c r="I195" s="136">
        <f t="shared" si="61"/>
        <v>0</v>
      </c>
      <c r="J195" s="137">
        <f t="shared" si="62"/>
        <v>0</v>
      </c>
      <c r="K195" s="137">
        <f t="shared" si="60"/>
        <v>0</v>
      </c>
      <c r="L195" s="73"/>
      <c r="N195" s="12"/>
      <c r="O195" s="29"/>
      <c r="P195" s="203"/>
      <c r="Q195" s="13"/>
    </row>
    <row r="196" spans="1:17">
      <c r="A196" s="7" t="s">
        <v>403</v>
      </c>
      <c r="B196" s="12"/>
      <c r="C196" s="53" t="s">
        <v>1314</v>
      </c>
      <c r="D196" s="54" t="s">
        <v>548</v>
      </c>
      <c r="E196" s="54"/>
      <c r="F196" s="169">
        <v>0</v>
      </c>
      <c r="G196" s="56" t="s">
        <v>229</v>
      </c>
      <c r="H196" s="320">
        <v>0</v>
      </c>
      <c r="I196" s="136">
        <f t="shared" si="61"/>
        <v>0</v>
      </c>
      <c r="J196" s="137">
        <f t="shared" si="62"/>
        <v>0</v>
      </c>
      <c r="K196" s="137">
        <f t="shared" si="60"/>
        <v>0</v>
      </c>
      <c r="L196" s="73"/>
      <c r="N196" s="12"/>
      <c r="O196" s="29"/>
      <c r="P196" s="203"/>
      <c r="Q196" s="13"/>
    </row>
    <row r="197" spans="1:17">
      <c r="B197" s="12"/>
      <c r="C197" s="53" t="s">
        <v>1315</v>
      </c>
      <c r="D197" s="54" t="s">
        <v>549</v>
      </c>
      <c r="E197" s="54"/>
      <c r="F197" s="169">
        <v>0</v>
      </c>
      <c r="G197" s="56" t="s">
        <v>229</v>
      </c>
      <c r="H197" s="320">
        <v>0</v>
      </c>
      <c r="I197" s="136">
        <f t="shared" si="61"/>
        <v>0</v>
      </c>
      <c r="J197" s="137">
        <f t="shared" si="62"/>
        <v>0</v>
      </c>
      <c r="K197" s="137">
        <f t="shared" si="60"/>
        <v>0</v>
      </c>
      <c r="L197" s="73"/>
      <c r="N197" s="12"/>
      <c r="O197" s="29"/>
      <c r="P197" s="203"/>
      <c r="Q197" s="13"/>
    </row>
    <row r="198" spans="1:17">
      <c r="B198" s="12"/>
      <c r="C198" s="53" t="s">
        <v>1316</v>
      </c>
      <c r="D198" s="54" t="s">
        <v>550</v>
      </c>
      <c r="E198" s="54"/>
      <c r="F198" s="169">
        <v>0</v>
      </c>
      <c r="G198" s="56" t="s">
        <v>229</v>
      </c>
      <c r="H198" s="320">
        <v>0</v>
      </c>
      <c r="I198" s="136">
        <f t="shared" si="61"/>
        <v>0</v>
      </c>
      <c r="J198" s="137">
        <f t="shared" si="62"/>
        <v>0</v>
      </c>
      <c r="K198" s="137">
        <f t="shared" si="60"/>
        <v>0</v>
      </c>
      <c r="L198" s="73"/>
      <c r="N198" s="12"/>
      <c r="O198" s="29"/>
      <c r="P198" s="203"/>
      <c r="Q198" s="13"/>
    </row>
    <row r="199" spans="1:17" ht="14.25" thickBot="1">
      <c r="A199" s="7" t="s">
        <v>403</v>
      </c>
      <c r="B199" s="12"/>
      <c r="C199" s="79"/>
      <c r="D199" s="54"/>
      <c r="E199" s="54"/>
      <c r="F199" s="169"/>
      <c r="G199" s="56"/>
      <c r="H199" s="320"/>
      <c r="I199" s="57"/>
      <c r="J199" s="77"/>
      <c r="K199" s="77"/>
      <c r="L199" s="73"/>
      <c r="N199" s="12"/>
      <c r="O199" s="29"/>
      <c r="P199" s="203"/>
      <c r="Q199" s="13"/>
    </row>
    <row r="200" spans="1:17" ht="18" customHeight="1">
      <c r="A200" s="7" t="s">
        <v>403</v>
      </c>
      <c r="B200" s="12"/>
      <c r="C200" s="443" t="s">
        <v>551</v>
      </c>
      <c r="D200" s="444" t="s">
        <v>506</v>
      </c>
      <c r="E200" s="318">
        <f>SUM(I201:I211)</f>
        <v>0</v>
      </c>
      <c r="F200" s="178"/>
      <c r="G200" s="179"/>
      <c r="H200" s="180"/>
      <c r="I200" s="191"/>
      <c r="J200" s="192"/>
      <c r="K200" s="192"/>
      <c r="L200" s="73"/>
      <c r="N200" s="12"/>
      <c r="O200" s="204"/>
      <c r="P200" s="205"/>
      <c r="Q200" s="13"/>
    </row>
    <row r="201" spans="1:17">
      <c r="A201" s="7" t="s">
        <v>403</v>
      </c>
      <c r="B201" s="12"/>
      <c r="C201" s="79"/>
      <c r="D201" s="80"/>
      <c r="E201" s="54"/>
      <c r="F201" s="169"/>
      <c r="G201" s="56"/>
      <c r="H201" s="320"/>
      <c r="I201" s="57"/>
      <c r="J201" s="77"/>
      <c r="K201" s="77"/>
      <c r="L201" s="73"/>
      <c r="N201" s="12"/>
      <c r="O201" s="29"/>
      <c r="P201" s="203"/>
      <c r="Q201" s="13"/>
    </row>
    <row r="202" spans="1:17">
      <c r="A202" s="7" t="s">
        <v>403</v>
      </c>
      <c r="B202" s="12"/>
      <c r="C202" s="53" t="s">
        <v>1317</v>
      </c>
      <c r="D202" s="54" t="s">
        <v>552</v>
      </c>
      <c r="E202" s="54"/>
      <c r="F202" s="169">
        <v>0</v>
      </c>
      <c r="G202" s="56" t="s">
        <v>144</v>
      </c>
      <c r="H202" s="320">
        <v>1034</v>
      </c>
      <c r="I202" s="136">
        <f t="shared" ref="I202:I210" si="63">IF(ISNUMBER(F202), F202 * H202, 0)</f>
        <v>0</v>
      </c>
      <c r="J202" s="137">
        <f t="shared" ref="J202:J210" si="64">IF($J$8=0, 0, I202/$J$8)</f>
        <v>0</v>
      </c>
      <c r="K202" s="137">
        <f t="shared" si="60"/>
        <v>0</v>
      </c>
      <c r="L202" s="73"/>
      <c r="N202" s="12"/>
      <c r="O202" s="29"/>
      <c r="P202" s="203"/>
      <c r="Q202" s="13"/>
    </row>
    <row r="203" spans="1:17">
      <c r="B203" s="12"/>
      <c r="C203" s="53" t="s">
        <v>1318</v>
      </c>
      <c r="D203" s="54" t="s">
        <v>553</v>
      </c>
      <c r="E203" s="54"/>
      <c r="F203" s="169">
        <v>0</v>
      </c>
      <c r="G203" s="56" t="s">
        <v>229</v>
      </c>
      <c r="H203" s="320">
        <v>6500</v>
      </c>
      <c r="I203" s="136">
        <f t="shared" si="63"/>
        <v>0</v>
      </c>
      <c r="J203" s="137">
        <f t="shared" si="64"/>
        <v>0</v>
      </c>
      <c r="K203" s="137">
        <f t="shared" si="60"/>
        <v>0</v>
      </c>
      <c r="L203" s="73"/>
      <c r="N203" s="12"/>
      <c r="O203" s="29"/>
      <c r="P203" s="203"/>
      <c r="Q203" s="13"/>
    </row>
    <row r="204" spans="1:17">
      <c r="B204" s="12"/>
      <c r="C204" s="53" t="s">
        <v>1319</v>
      </c>
      <c r="D204" s="54" t="s">
        <v>554</v>
      </c>
      <c r="E204" s="54"/>
      <c r="F204" s="169">
        <v>0</v>
      </c>
      <c r="G204" s="56" t="s">
        <v>229</v>
      </c>
      <c r="H204" s="320">
        <v>1E-3</v>
      </c>
      <c r="I204" s="136">
        <f t="shared" ref="I204" si="65">IF(ISNUMBER(F204), F204 * H204, 0)</f>
        <v>0</v>
      </c>
      <c r="J204" s="137">
        <f t="shared" ref="J204" si="66">IF($J$8=0, 0, I204/$J$8)</f>
        <v>0</v>
      </c>
      <c r="K204" s="137">
        <f t="shared" ref="K204" si="67">IF($K$8=0, 0, I204/$K$8)</f>
        <v>0</v>
      </c>
      <c r="L204" s="73"/>
      <c r="N204" s="12"/>
      <c r="O204" s="29"/>
      <c r="P204" s="203"/>
      <c r="Q204" s="13"/>
    </row>
    <row r="205" spans="1:17">
      <c r="B205" s="12"/>
      <c r="C205" s="78" t="s">
        <v>1320</v>
      </c>
      <c r="D205" s="54" t="s">
        <v>555</v>
      </c>
      <c r="E205" s="54"/>
      <c r="F205" s="169">
        <v>0</v>
      </c>
      <c r="G205" s="56" t="s">
        <v>229</v>
      </c>
      <c r="H205" s="320">
        <v>1E-3</v>
      </c>
      <c r="I205" s="136">
        <f t="shared" si="63"/>
        <v>0</v>
      </c>
      <c r="J205" s="137">
        <f t="shared" si="64"/>
        <v>0</v>
      </c>
      <c r="K205" s="137">
        <f t="shared" si="60"/>
        <v>0</v>
      </c>
      <c r="L205" s="73"/>
      <c r="N205" s="12"/>
      <c r="O205" s="29"/>
      <c r="P205" s="203"/>
      <c r="Q205" s="13"/>
    </row>
    <row r="206" spans="1:17">
      <c r="B206" s="12"/>
      <c r="C206" s="53" t="s">
        <v>1321</v>
      </c>
      <c r="D206" s="54" t="s">
        <v>556</v>
      </c>
      <c r="E206" s="54"/>
      <c r="F206" s="169">
        <v>0</v>
      </c>
      <c r="G206" s="56" t="s">
        <v>229</v>
      </c>
      <c r="H206" s="320">
        <v>3577</v>
      </c>
      <c r="I206" s="136">
        <f t="shared" si="63"/>
        <v>0</v>
      </c>
      <c r="J206" s="137">
        <f t="shared" si="64"/>
        <v>0</v>
      </c>
      <c r="K206" s="137">
        <f t="shared" si="60"/>
        <v>0</v>
      </c>
      <c r="L206" s="73"/>
      <c r="N206" s="12"/>
      <c r="O206" s="29"/>
      <c r="P206" s="203"/>
      <c r="Q206" s="13"/>
    </row>
    <row r="207" spans="1:17">
      <c r="B207" s="12"/>
      <c r="C207" s="53" t="s">
        <v>1322</v>
      </c>
      <c r="D207" s="54" t="s">
        <v>557</v>
      </c>
      <c r="E207" s="54"/>
      <c r="F207" s="169">
        <v>0</v>
      </c>
      <c r="G207" s="56" t="s">
        <v>229</v>
      </c>
      <c r="H207" s="320">
        <v>1E-3</v>
      </c>
      <c r="I207" s="136">
        <f t="shared" si="63"/>
        <v>0</v>
      </c>
      <c r="J207" s="137">
        <f t="shared" si="64"/>
        <v>0</v>
      </c>
      <c r="K207" s="137">
        <f t="shared" si="60"/>
        <v>0</v>
      </c>
      <c r="L207" s="73"/>
      <c r="N207" s="12"/>
      <c r="O207" s="29"/>
      <c r="P207" s="203"/>
      <c r="Q207" s="13"/>
    </row>
    <row r="208" spans="1:17">
      <c r="A208" s="7" t="s">
        <v>403</v>
      </c>
      <c r="B208" s="12"/>
      <c r="C208" s="53" t="s">
        <v>1323</v>
      </c>
      <c r="D208" s="54" t="s">
        <v>558</v>
      </c>
      <c r="E208" s="54"/>
      <c r="F208" s="169">
        <v>0</v>
      </c>
      <c r="G208" s="56" t="s">
        <v>229</v>
      </c>
      <c r="H208" s="320">
        <v>0</v>
      </c>
      <c r="I208" s="136">
        <f t="shared" si="63"/>
        <v>0</v>
      </c>
      <c r="J208" s="137">
        <f t="shared" si="64"/>
        <v>0</v>
      </c>
      <c r="K208" s="137">
        <f t="shared" si="60"/>
        <v>0</v>
      </c>
      <c r="L208" s="73"/>
      <c r="N208" s="12"/>
      <c r="O208" s="29"/>
      <c r="P208" s="203"/>
      <c r="Q208" s="13"/>
    </row>
    <row r="209" spans="1:17">
      <c r="A209" s="7" t="s">
        <v>403</v>
      </c>
      <c r="B209" s="12"/>
      <c r="C209" s="53" t="s">
        <v>1324</v>
      </c>
      <c r="D209" s="54" t="s">
        <v>559</v>
      </c>
      <c r="E209" s="54"/>
      <c r="F209" s="169">
        <v>0</v>
      </c>
      <c r="G209" s="56" t="s">
        <v>144</v>
      </c>
      <c r="H209" s="320">
        <v>3500</v>
      </c>
      <c r="I209" s="136">
        <f t="shared" si="63"/>
        <v>0</v>
      </c>
      <c r="J209" s="137">
        <f t="shared" si="64"/>
        <v>0</v>
      </c>
      <c r="K209" s="137">
        <f t="shared" si="60"/>
        <v>0</v>
      </c>
      <c r="L209" s="73"/>
      <c r="N209" s="12"/>
      <c r="O209" s="29"/>
      <c r="P209" s="203"/>
      <c r="Q209" s="13"/>
    </row>
    <row r="210" spans="1:17">
      <c r="B210" s="12"/>
      <c r="C210" s="53" t="s">
        <v>1325</v>
      </c>
      <c r="D210" s="54" t="s">
        <v>560</v>
      </c>
      <c r="E210" s="54"/>
      <c r="F210" s="169">
        <v>0</v>
      </c>
      <c r="G210" s="56" t="s">
        <v>144</v>
      </c>
      <c r="H210" s="320">
        <v>450</v>
      </c>
      <c r="I210" s="136">
        <f t="shared" si="63"/>
        <v>0</v>
      </c>
      <c r="J210" s="137">
        <f t="shared" si="64"/>
        <v>0</v>
      </c>
      <c r="K210" s="137">
        <f t="shared" si="60"/>
        <v>0</v>
      </c>
      <c r="L210" s="73"/>
      <c r="N210" s="12"/>
      <c r="O210" s="29"/>
      <c r="P210" s="203"/>
      <c r="Q210" s="13"/>
    </row>
    <row r="211" spans="1:17" ht="14.25" thickBot="1">
      <c r="A211" s="7" t="s">
        <v>403</v>
      </c>
      <c r="B211" s="12"/>
      <c r="C211" s="79"/>
      <c r="D211" s="54"/>
      <c r="E211" s="54"/>
      <c r="F211" s="169"/>
      <c r="G211" s="56"/>
      <c r="H211" s="320"/>
      <c r="I211" s="57"/>
      <c r="J211" s="77"/>
      <c r="K211" s="77"/>
      <c r="L211" s="73"/>
      <c r="N211" s="12"/>
      <c r="O211" s="29"/>
      <c r="P211" s="203"/>
      <c r="Q211" s="13"/>
    </row>
    <row r="212" spans="1:17" ht="18" customHeight="1">
      <c r="A212" s="7" t="s">
        <v>403</v>
      </c>
      <c r="B212" s="12"/>
      <c r="C212" s="443" t="s">
        <v>561</v>
      </c>
      <c r="D212" s="444" t="s">
        <v>506</v>
      </c>
      <c r="E212" s="318">
        <f>SUM(I213:I219)</f>
        <v>0</v>
      </c>
      <c r="F212" s="178"/>
      <c r="G212" s="179"/>
      <c r="H212" s="180"/>
      <c r="I212" s="191"/>
      <c r="J212" s="192"/>
      <c r="K212" s="192"/>
      <c r="L212" s="73"/>
      <c r="N212" s="12"/>
      <c r="O212" s="204"/>
      <c r="P212" s="205"/>
      <c r="Q212" s="13"/>
    </row>
    <row r="213" spans="1:17">
      <c r="B213" s="12"/>
      <c r="C213" s="79"/>
      <c r="D213" s="80"/>
      <c r="E213" s="54"/>
      <c r="F213" s="169"/>
      <c r="G213" s="56"/>
      <c r="H213" s="320"/>
      <c r="I213" s="57"/>
      <c r="J213" s="77"/>
      <c r="K213" s="77"/>
      <c r="L213" s="73"/>
      <c r="N213" s="12"/>
      <c r="O213" s="29"/>
      <c r="P213" s="203"/>
      <c r="Q213" s="13"/>
    </row>
    <row r="214" spans="1:17">
      <c r="B214" s="12"/>
      <c r="C214" s="53" t="s">
        <v>1326</v>
      </c>
      <c r="D214" s="54" t="s">
        <v>562</v>
      </c>
      <c r="E214" s="54"/>
      <c r="F214" s="169">
        <v>0</v>
      </c>
      <c r="G214" s="56" t="s">
        <v>144</v>
      </c>
      <c r="H214" s="320">
        <v>225000</v>
      </c>
      <c r="I214" s="136">
        <f t="shared" ref="I214:I218" si="68">IF(ISNUMBER(F214), F214 * H214, 0)</f>
        <v>0</v>
      </c>
      <c r="J214" s="137">
        <f t="shared" ref="J214:J218" si="69">IF($J$8=0, 0, I214/$J$8)</f>
        <v>0</v>
      </c>
      <c r="K214" s="137">
        <f t="shared" si="60"/>
        <v>0</v>
      </c>
      <c r="L214" s="73"/>
      <c r="N214" s="12"/>
      <c r="O214" s="29"/>
      <c r="P214" s="203"/>
      <c r="Q214" s="13"/>
    </row>
    <row r="215" spans="1:17">
      <c r="B215" s="12"/>
      <c r="C215" s="53" t="s">
        <v>1327</v>
      </c>
      <c r="D215" s="54" t="s">
        <v>563</v>
      </c>
      <c r="E215" s="54"/>
      <c r="F215" s="169">
        <v>0</v>
      </c>
      <c r="G215" s="56" t="s">
        <v>144</v>
      </c>
      <c r="H215" s="320">
        <v>164167</v>
      </c>
      <c r="I215" s="136">
        <f t="shared" si="68"/>
        <v>0</v>
      </c>
      <c r="J215" s="137">
        <f t="shared" si="69"/>
        <v>0</v>
      </c>
      <c r="K215" s="137">
        <f t="shared" si="60"/>
        <v>0</v>
      </c>
      <c r="L215" s="73"/>
      <c r="N215" s="12"/>
      <c r="O215" s="29"/>
      <c r="P215" s="203"/>
      <c r="Q215" s="13"/>
    </row>
    <row r="216" spans="1:17">
      <c r="B216" s="12"/>
      <c r="C216" s="53" t="s">
        <v>1328</v>
      </c>
      <c r="D216" s="54" t="s">
        <v>564</v>
      </c>
      <c r="E216" s="54"/>
      <c r="F216" s="169">
        <v>0</v>
      </c>
      <c r="G216" s="56" t="s">
        <v>144</v>
      </c>
      <c r="H216" s="320">
        <v>6000</v>
      </c>
      <c r="I216" s="136">
        <f t="shared" si="68"/>
        <v>0</v>
      </c>
      <c r="J216" s="137">
        <f t="shared" si="69"/>
        <v>0</v>
      </c>
      <c r="K216" s="137">
        <f t="shared" si="60"/>
        <v>0</v>
      </c>
      <c r="L216" s="73"/>
      <c r="N216" s="12"/>
      <c r="O216" s="29"/>
      <c r="P216" s="203"/>
      <c r="Q216" s="13"/>
    </row>
    <row r="217" spans="1:17">
      <c r="B217" s="12"/>
      <c r="C217" s="53" t="s">
        <v>1329</v>
      </c>
      <c r="D217" s="54" t="s">
        <v>565</v>
      </c>
      <c r="E217" s="54"/>
      <c r="F217" s="169">
        <v>0</v>
      </c>
      <c r="G217" s="56" t="s">
        <v>144</v>
      </c>
      <c r="H217" s="320">
        <v>32980</v>
      </c>
      <c r="I217" s="136">
        <f t="shared" si="68"/>
        <v>0</v>
      </c>
      <c r="J217" s="137">
        <f t="shared" si="69"/>
        <v>0</v>
      </c>
      <c r="K217" s="137">
        <f t="shared" si="60"/>
        <v>0</v>
      </c>
      <c r="L217" s="73"/>
      <c r="N217" s="12"/>
      <c r="O217" s="29"/>
      <c r="P217" s="203"/>
      <c r="Q217" s="13"/>
    </row>
    <row r="218" spans="1:17">
      <c r="B218" s="12"/>
      <c r="C218" s="78" t="s">
        <v>1330</v>
      </c>
      <c r="D218" s="54" t="s">
        <v>566</v>
      </c>
      <c r="E218" s="54"/>
      <c r="F218" s="169">
        <v>0</v>
      </c>
      <c r="G218" s="56" t="s">
        <v>146</v>
      </c>
      <c r="H218" s="320">
        <v>60</v>
      </c>
      <c r="I218" s="136">
        <f t="shared" si="68"/>
        <v>0</v>
      </c>
      <c r="J218" s="137">
        <f t="shared" si="69"/>
        <v>0</v>
      </c>
      <c r="K218" s="137">
        <f t="shared" ref="K218" si="70">IF($K$8=0, 0, I218/$K$8)</f>
        <v>0</v>
      </c>
      <c r="L218" s="73"/>
      <c r="N218" s="12"/>
      <c r="O218" s="29"/>
      <c r="P218" s="203"/>
      <c r="Q218" s="13"/>
    </row>
    <row r="219" spans="1:17" ht="14.25" thickBot="1">
      <c r="B219" s="12"/>
      <c r="C219" s="79"/>
      <c r="D219" s="54"/>
      <c r="E219" s="54"/>
      <c r="F219" s="169"/>
      <c r="G219" s="56"/>
      <c r="H219" s="320"/>
      <c r="I219" s="57"/>
      <c r="J219" s="77"/>
      <c r="K219" s="77"/>
      <c r="L219" s="73"/>
      <c r="N219" s="12"/>
      <c r="O219" s="29"/>
      <c r="P219" s="203"/>
      <c r="Q219" s="13"/>
    </row>
    <row r="220" spans="1:17" ht="18" customHeight="1">
      <c r="A220" s="7" t="s">
        <v>403</v>
      </c>
      <c r="B220" s="12"/>
      <c r="C220" s="443" t="s">
        <v>567</v>
      </c>
      <c r="D220" s="444" t="s">
        <v>506</v>
      </c>
      <c r="E220" s="318">
        <f>SUM(I221:I226)</f>
        <v>0</v>
      </c>
      <c r="F220" s="178"/>
      <c r="G220" s="179"/>
      <c r="H220" s="180"/>
      <c r="I220" s="191"/>
      <c r="J220" s="192"/>
      <c r="K220" s="192"/>
      <c r="L220" s="73"/>
      <c r="N220" s="12"/>
      <c r="O220" s="204"/>
      <c r="P220" s="205"/>
      <c r="Q220" s="13"/>
    </row>
    <row r="221" spans="1:17">
      <c r="B221" s="12"/>
      <c r="C221" s="79"/>
      <c r="D221" s="80"/>
      <c r="E221" s="54"/>
      <c r="F221" s="169"/>
      <c r="G221" s="56"/>
      <c r="H221" s="320"/>
      <c r="I221" s="57"/>
      <c r="J221" s="77"/>
      <c r="K221" s="77"/>
      <c r="L221" s="73"/>
      <c r="N221" s="12"/>
      <c r="O221" s="29"/>
      <c r="P221" s="203"/>
      <c r="Q221" s="13"/>
    </row>
    <row r="222" spans="1:17">
      <c r="B222" s="12"/>
      <c r="C222" s="53" t="s">
        <v>1331</v>
      </c>
      <c r="D222" s="54" t="s">
        <v>568</v>
      </c>
      <c r="E222" s="54"/>
      <c r="F222" s="169">
        <v>0</v>
      </c>
      <c r="G222" s="56" t="s">
        <v>229</v>
      </c>
      <c r="H222" s="320">
        <v>1</v>
      </c>
      <c r="I222" s="136">
        <f t="shared" ref="I222:I225" si="71">IF(ISNUMBER(F222), F222 * H222, 0)</f>
        <v>0</v>
      </c>
      <c r="J222" s="137">
        <f t="shared" ref="J222:J225" si="72">IF($J$8=0, 0, I222/$J$8)</f>
        <v>0</v>
      </c>
      <c r="K222" s="137">
        <f t="shared" si="60"/>
        <v>0</v>
      </c>
      <c r="L222" s="73"/>
      <c r="N222" s="12"/>
      <c r="O222" s="29"/>
      <c r="P222" s="203"/>
      <c r="Q222" s="13"/>
    </row>
    <row r="223" spans="1:17">
      <c r="B223" s="12"/>
      <c r="C223" s="53" t="s">
        <v>1332</v>
      </c>
      <c r="D223" s="54" t="s">
        <v>569</v>
      </c>
      <c r="E223" s="54"/>
      <c r="F223" s="169">
        <v>0</v>
      </c>
      <c r="G223" s="56" t="s">
        <v>570</v>
      </c>
      <c r="H223" s="320">
        <v>31500</v>
      </c>
      <c r="I223" s="136">
        <f t="shared" si="71"/>
        <v>0</v>
      </c>
      <c r="J223" s="137">
        <f t="shared" si="72"/>
        <v>0</v>
      </c>
      <c r="K223" s="137">
        <f t="shared" si="60"/>
        <v>0</v>
      </c>
      <c r="L223" s="73"/>
      <c r="N223" s="12"/>
      <c r="O223" s="29"/>
      <c r="P223" s="203"/>
      <c r="Q223" s="13"/>
    </row>
    <row r="224" spans="1:17">
      <c r="B224" s="12"/>
      <c r="C224" s="53" t="s">
        <v>1333</v>
      </c>
      <c r="D224" s="54" t="s">
        <v>571</v>
      </c>
      <c r="E224" s="54"/>
      <c r="F224" s="169">
        <v>0</v>
      </c>
      <c r="G224" s="56" t="s">
        <v>229</v>
      </c>
      <c r="H224" s="320">
        <v>3</v>
      </c>
      <c r="I224" s="136">
        <f t="shared" si="71"/>
        <v>0</v>
      </c>
      <c r="J224" s="137">
        <f t="shared" si="72"/>
        <v>0</v>
      </c>
      <c r="K224" s="137">
        <f t="shared" si="60"/>
        <v>0</v>
      </c>
      <c r="L224" s="73"/>
      <c r="N224" s="12"/>
      <c r="O224" s="29"/>
      <c r="P224" s="203"/>
      <c r="Q224" s="13"/>
    </row>
    <row r="225" spans="1:17">
      <c r="B225" s="12"/>
      <c r="C225" s="53" t="s">
        <v>1334</v>
      </c>
      <c r="D225" s="54" t="s">
        <v>572</v>
      </c>
      <c r="E225" s="54"/>
      <c r="F225" s="169">
        <v>0</v>
      </c>
      <c r="G225" s="56" t="s">
        <v>573</v>
      </c>
      <c r="H225" s="320">
        <v>3750</v>
      </c>
      <c r="I225" s="136">
        <f t="shared" si="71"/>
        <v>0</v>
      </c>
      <c r="J225" s="137">
        <f t="shared" si="72"/>
        <v>0</v>
      </c>
      <c r="K225" s="137">
        <f t="shared" ref="K225:K286" si="73">IF($K$8=0, 0, I225/$K$8)</f>
        <v>0</v>
      </c>
      <c r="L225" s="73"/>
      <c r="N225" s="12"/>
      <c r="O225" s="29"/>
      <c r="P225" s="203"/>
      <c r="Q225" s="13"/>
    </row>
    <row r="226" spans="1:17" ht="14.25" thickBot="1">
      <c r="B226" s="12"/>
      <c r="C226" s="79"/>
      <c r="D226" s="54"/>
      <c r="E226" s="54"/>
      <c r="F226" s="169"/>
      <c r="G226" s="56"/>
      <c r="H226" s="320"/>
      <c r="I226" s="57"/>
      <c r="J226" s="77"/>
      <c r="K226" s="77"/>
      <c r="L226" s="73"/>
      <c r="N226" s="12"/>
      <c r="O226" s="29"/>
      <c r="P226" s="203"/>
      <c r="Q226" s="13"/>
    </row>
    <row r="227" spans="1:17" ht="18" customHeight="1">
      <c r="A227" s="7" t="s">
        <v>403</v>
      </c>
      <c r="B227" s="12"/>
      <c r="C227" s="443" t="s">
        <v>574</v>
      </c>
      <c r="D227" s="444"/>
      <c r="E227" s="318">
        <f>SUM(I228:I231)</f>
        <v>0</v>
      </c>
      <c r="F227" s="178"/>
      <c r="G227" s="179"/>
      <c r="H227" s="180"/>
      <c r="I227" s="191"/>
      <c r="J227" s="192"/>
      <c r="K227" s="192"/>
      <c r="L227" s="73"/>
      <c r="N227" s="12"/>
      <c r="O227" s="204"/>
      <c r="P227" s="205"/>
      <c r="Q227" s="13"/>
    </row>
    <row r="228" spans="1:17">
      <c r="A228" s="7" t="s">
        <v>403</v>
      </c>
      <c r="B228" s="12"/>
      <c r="C228" s="79"/>
      <c r="D228" s="80"/>
      <c r="E228" s="54"/>
      <c r="F228" s="169"/>
      <c r="G228" s="56"/>
      <c r="H228" s="320"/>
      <c r="I228" s="57"/>
      <c r="J228" s="77"/>
      <c r="K228" s="77"/>
      <c r="L228" s="73"/>
      <c r="N228" s="12"/>
      <c r="O228" s="29"/>
      <c r="P228" s="203"/>
      <c r="Q228" s="13"/>
    </row>
    <row r="229" spans="1:17">
      <c r="A229" s="7" t="s">
        <v>403</v>
      </c>
      <c r="B229" s="12"/>
      <c r="C229" s="53" t="s">
        <v>1335</v>
      </c>
      <c r="D229" s="54" t="s">
        <v>575</v>
      </c>
      <c r="E229" s="54"/>
      <c r="F229" s="169">
        <v>0</v>
      </c>
      <c r="G229" s="56" t="s">
        <v>146</v>
      </c>
      <c r="H229" s="320">
        <v>4</v>
      </c>
      <c r="I229" s="136">
        <f t="shared" ref="I229:I230" si="74">IF(ISNUMBER(F229), F229 * H229, 0)</f>
        <v>0</v>
      </c>
      <c r="J229" s="137">
        <f t="shared" ref="J229:J230" si="75">IF($J$8=0, 0, I229/$J$8)</f>
        <v>0</v>
      </c>
      <c r="K229" s="137">
        <f t="shared" si="73"/>
        <v>0</v>
      </c>
      <c r="L229" s="73"/>
      <c r="N229" s="12"/>
      <c r="O229" s="29"/>
      <c r="P229" s="203"/>
      <c r="Q229" s="13"/>
    </row>
    <row r="230" spans="1:17">
      <c r="B230" s="12"/>
      <c r="C230" s="53" t="s">
        <v>1336</v>
      </c>
      <c r="D230" s="54" t="s">
        <v>576</v>
      </c>
      <c r="E230" s="54"/>
      <c r="F230" s="169">
        <v>0</v>
      </c>
      <c r="G230" s="56" t="s">
        <v>144</v>
      </c>
      <c r="H230" s="320">
        <v>42000</v>
      </c>
      <c r="I230" s="136">
        <f t="shared" si="74"/>
        <v>0</v>
      </c>
      <c r="J230" s="137">
        <f t="shared" si="75"/>
        <v>0</v>
      </c>
      <c r="K230" s="137">
        <f t="shared" si="73"/>
        <v>0</v>
      </c>
      <c r="L230" s="73"/>
      <c r="N230" s="12"/>
      <c r="O230" s="29"/>
      <c r="P230" s="203"/>
      <c r="Q230" s="13"/>
    </row>
    <row r="231" spans="1:17" ht="14.25" thickBot="1">
      <c r="A231" s="7" t="s">
        <v>403</v>
      </c>
      <c r="B231" s="12"/>
      <c r="C231" s="79"/>
      <c r="D231" s="54"/>
      <c r="E231" s="54"/>
      <c r="F231" s="169"/>
      <c r="G231" s="56"/>
      <c r="H231" s="320"/>
      <c r="I231" s="57"/>
      <c r="J231" s="77"/>
      <c r="K231" s="77"/>
      <c r="L231" s="73"/>
      <c r="N231" s="12"/>
      <c r="O231" s="29"/>
      <c r="P231" s="203"/>
      <c r="Q231" s="13"/>
    </row>
    <row r="232" spans="1:17" ht="18" customHeight="1">
      <c r="A232" s="7" t="s">
        <v>403</v>
      </c>
      <c r="B232" s="12"/>
      <c r="C232" s="443" t="s">
        <v>577</v>
      </c>
      <c r="D232" s="444"/>
      <c r="E232" s="318">
        <f>SUM(I233:I238)</f>
        <v>0</v>
      </c>
      <c r="F232" s="178"/>
      <c r="G232" s="179"/>
      <c r="H232" s="180"/>
      <c r="I232" s="191"/>
      <c r="J232" s="192"/>
      <c r="K232" s="192"/>
      <c r="L232" s="73"/>
      <c r="N232" s="12"/>
      <c r="O232" s="204"/>
      <c r="P232" s="205"/>
      <c r="Q232" s="13"/>
    </row>
    <row r="233" spans="1:17">
      <c r="A233" s="7" t="s">
        <v>403</v>
      </c>
      <c r="B233" s="12"/>
      <c r="C233" s="79"/>
      <c r="D233" s="80"/>
      <c r="E233" s="54"/>
      <c r="F233" s="169"/>
      <c r="G233" s="56"/>
      <c r="H233" s="320"/>
      <c r="I233" s="57"/>
      <c r="J233" s="77"/>
      <c r="K233" s="77"/>
      <c r="L233" s="73"/>
      <c r="N233" s="12"/>
      <c r="O233" s="29"/>
      <c r="P233" s="203"/>
      <c r="Q233" s="13"/>
    </row>
    <row r="234" spans="1:17">
      <c r="A234" s="7" t="s">
        <v>403</v>
      </c>
      <c r="B234" s="12"/>
      <c r="C234" s="53" t="s">
        <v>1337</v>
      </c>
      <c r="D234" s="54" t="s">
        <v>578</v>
      </c>
      <c r="E234" s="54"/>
      <c r="F234" s="169">
        <v>0</v>
      </c>
      <c r="G234" s="56" t="s">
        <v>144</v>
      </c>
      <c r="H234" s="320">
        <v>13500</v>
      </c>
      <c r="I234" s="136">
        <f t="shared" ref="I234:I237" si="76">IF(ISNUMBER(F234), F234 * H234, 0)</f>
        <v>0</v>
      </c>
      <c r="J234" s="137">
        <f t="shared" ref="J234:J237" si="77">IF($J$8=0, 0, I234/$J$8)</f>
        <v>0</v>
      </c>
      <c r="K234" s="137">
        <f t="shared" si="73"/>
        <v>0</v>
      </c>
      <c r="L234" s="73"/>
      <c r="N234" s="12"/>
      <c r="O234" s="29"/>
      <c r="P234" s="203"/>
      <c r="Q234" s="13"/>
    </row>
    <row r="235" spans="1:17">
      <c r="B235" s="12"/>
      <c r="C235" s="53" t="s">
        <v>1338</v>
      </c>
      <c r="D235" s="54" t="s">
        <v>579</v>
      </c>
      <c r="E235" s="54"/>
      <c r="F235" s="169">
        <v>0</v>
      </c>
      <c r="G235" s="56" t="s">
        <v>144</v>
      </c>
      <c r="H235" s="320">
        <v>0</v>
      </c>
      <c r="I235" s="136">
        <f t="shared" si="76"/>
        <v>0</v>
      </c>
      <c r="J235" s="137">
        <f t="shared" si="77"/>
        <v>0</v>
      </c>
      <c r="K235" s="137">
        <f t="shared" ref="K235:K236" si="78">IF($K$8=0, 0, I235/$K$8)</f>
        <v>0</v>
      </c>
      <c r="L235" s="73"/>
      <c r="N235" s="12"/>
      <c r="O235" s="29"/>
      <c r="P235" s="203"/>
      <c r="Q235" s="13"/>
    </row>
    <row r="236" spans="1:17">
      <c r="B236" s="12"/>
      <c r="C236" s="53" t="s">
        <v>1339</v>
      </c>
      <c r="D236" s="54" t="s">
        <v>580</v>
      </c>
      <c r="E236" s="54"/>
      <c r="F236" s="169">
        <v>1E-3</v>
      </c>
      <c r="G236" s="56" t="s">
        <v>229</v>
      </c>
      <c r="H236" s="320">
        <v>0</v>
      </c>
      <c r="I236" s="136">
        <f t="shared" ref="I236" si="79">IF(ISNUMBER(F236), F236 * H236, 0)</f>
        <v>0</v>
      </c>
      <c r="J236" s="137">
        <f t="shared" ref="J236" si="80">IF($J$8=0, 0, I236/$J$8)</f>
        <v>0</v>
      </c>
      <c r="K236" s="137">
        <f t="shared" si="78"/>
        <v>0</v>
      </c>
      <c r="L236" s="73"/>
      <c r="N236" s="12"/>
      <c r="O236" s="29"/>
      <c r="P236" s="203"/>
      <c r="Q236" s="13"/>
    </row>
    <row r="237" spans="1:17">
      <c r="B237" s="12"/>
      <c r="C237" s="53" t="s">
        <v>1340</v>
      </c>
      <c r="D237" s="54" t="s">
        <v>581</v>
      </c>
      <c r="E237" s="54"/>
      <c r="F237" s="169">
        <v>1E-3</v>
      </c>
      <c r="G237" s="56" t="s">
        <v>144</v>
      </c>
      <c r="H237" s="320">
        <v>0</v>
      </c>
      <c r="I237" s="136">
        <f t="shared" si="76"/>
        <v>0</v>
      </c>
      <c r="J237" s="137">
        <f t="shared" si="77"/>
        <v>0</v>
      </c>
      <c r="K237" s="137">
        <f t="shared" si="73"/>
        <v>0</v>
      </c>
      <c r="L237" s="73"/>
      <c r="N237" s="12"/>
      <c r="O237" s="29"/>
      <c r="P237" s="203"/>
      <c r="Q237" s="13"/>
    </row>
    <row r="238" spans="1:17" ht="14.25" thickBot="1">
      <c r="A238" s="7" t="s">
        <v>403</v>
      </c>
      <c r="B238" s="12"/>
      <c r="C238" s="79"/>
      <c r="D238" s="54"/>
      <c r="E238" s="54"/>
      <c r="F238" s="169"/>
      <c r="G238" s="56"/>
      <c r="H238" s="320"/>
      <c r="I238" s="57"/>
      <c r="J238" s="77"/>
      <c r="K238" s="77"/>
      <c r="L238" s="73"/>
      <c r="N238" s="12"/>
      <c r="O238" s="29"/>
      <c r="P238" s="203"/>
      <c r="Q238" s="13"/>
    </row>
    <row r="239" spans="1:17" ht="18" customHeight="1">
      <c r="A239" s="7" t="s">
        <v>403</v>
      </c>
      <c r="B239" s="12"/>
      <c r="C239" s="443" t="s">
        <v>582</v>
      </c>
      <c r="D239" s="444"/>
      <c r="E239" s="318">
        <f>SUM(I240:I242)</f>
        <v>0</v>
      </c>
      <c r="F239" s="178"/>
      <c r="G239" s="179"/>
      <c r="H239" s="180"/>
      <c r="I239" s="191"/>
      <c r="J239" s="192"/>
      <c r="K239" s="192"/>
      <c r="L239" s="73"/>
      <c r="N239" s="12"/>
      <c r="O239" s="204"/>
      <c r="P239" s="205"/>
      <c r="Q239" s="13"/>
    </row>
    <row r="240" spans="1:17">
      <c r="A240" s="7" t="s">
        <v>403</v>
      </c>
      <c r="B240" s="12"/>
      <c r="C240" s="79"/>
      <c r="D240" s="80"/>
      <c r="E240" s="54"/>
      <c r="F240" s="169"/>
      <c r="G240" s="56"/>
      <c r="H240" s="320"/>
      <c r="I240" s="57"/>
      <c r="J240" s="77"/>
      <c r="K240" s="77"/>
      <c r="L240" s="73"/>
      <c r="N240" s="12"/>
      <c r="O240" s="29"/>
      <c r="P240" s="203"/>
      <c r="Q240" s="13"/>
    </row>
    <row r="241" spans="1:17">
      <c r="A241" s="7" t="s">
        <v>403</v>
      </c>
      <c r="B241" s="12"/>
      <c r="C241" s="53" t="s">
        <v>1341</v>
      </c>
      <c r="D241" s="54" t="s">
        <v>583</v>
      </c>
      <c r="E241" s="54"/>
      <c r="F241" s="169">
        <v>0</v>
      </c>
      <c r="G241" s="56" t="s">
        <v>144</v>
      </c>
      <c r="H241" s="320">
        <v>14500</v>
      </c>
      <c r="I241" s="136">
        <f t="shared" ref="I241" si="81">IF(ISNUMBER(F241), F241 * H241, 0)</f>
        <v>0</v>
      </c>
      <c r="J241" s="137">
        <f t="shared" ref="J241" si="82">IF($J$8=0, 0, I241/$J$8)</f>
        <v>0</v>
      </c>
      <c r="K241" s="137">
        <f t="shared" si="73"/>
        <v>0</v>
      </c>
      <c r="L241" s="73"/>
      <c r="N241" s="12"/>
      <c r="O241" s="29"/>
      <c r="P241" s="203"/>
      <c r="Q241" s="13"/>
    </row>
    <row r="242" spans="1:17" ht="14.25" thickBot="1">
      <c r="A242" s="7" t="s">
        <v>403</v>
      </c>
      <c r="B242" s="12"/>
      <c r="C242" s="79"/>
      <c r="D242" s="54"/>
      <c r="E242" s="54"/>
      <c r="F242" s="169"/>
      <c r="G242" s="56"/>
      <c r="H242" s="320"/>
      <c r="I242" s="57"/>
      <c r="J242" s="77"/>
      <c r="K242" s="77"/>
      <c r="L242" s="73"/>
      <c r="N242" s="12"/>
      <c r="O242" s="29"/>
      <c r="P242" s="203"/>
      <c r="Q242" s="13"/>
    </row>
    <row r="243" spans="1:17" ht="18" customHeight="1">
      <c r="A243" s="7" t="s">
        <v>403</v>
      </c>
      <c r="B243" s="12"/>
      <c r="C243" s="443" t="s">
        <v>584</v>
      </c>
      <c r="D243" s="444"/>
      <c r="E243" s="318">
        <f>SUM(I244:I250)</f>
        <v>0</v>
      </c>
      <c r="F243" s="178"/>
      <c r="G243" s="179"/>
      <c r="H243" s="180"/>
      <c r="I243" s="191"/>
      <c r="J243" s="192"/>
      <c r="K243" s="192"/>
      <c r="L243" s="73"/>
      <c r="N243" s="12"/>
      <c r="O243" s="204"/>
      <c r="P243" s="205"/>
      <c r="Q243" s="13"/>
    </row>
    <row r="244" spans="1:17">
      <c r="A244" s="7" t="s">
        <v>403</v>
      </c>
      <c r="B244" s="12"/>
      <c r="C244" s="79"/>
      <c r="D244" s="80"/>
      <c r="E244" s="54"/>
      <c r="F244" s="169"/>
      <c r="G244" s="56"/>
      <c r="H244" s="320"/>
      <c r="I244" s="57"/>
      <c r="J244" s="77"/>
      <c r="K244" s="77"/>
      <c r="L244" s="73"/>
      <c r="N244" s="12"/>
      <c r="O244" s="29"/>
      <c r="P244" s="203"/>
      <c r="Q244" s="13"/>
    </row>
    <row r="245" spans="1:17">
      <c r="A245" s="7" t="s">
        <v>403</v>
      </c>
      <c r="B245" s="12"/>
      <c r="C245" s="53" t="s">
        <v>1342</v>
      </c>
      <c r="D245" s="54" t="s">
        <v>585</v>
      </c>
      <c r="E245" s="54"/>
      <c r="F245" s="169">
        <v>0</v>
      </c>
      <c r="G245" s="56" t="s">
        <v>144</v>
      </c>
      <c r="H245" s="320">
        <v>15500</v>
      </c>
      <c r="I245" s="136">
        <f t="shared" ref="I245:I249" si="83">IF(ISNUMBER(F245), F245 * H245, 0)</f>
        <v>0</v>
      </c>
      <c r="J245" s="137">
        <f t="shared" ref="J245:J249" si="84">IF($J$8=0, 0, I245/$J$8)</f>
        <v>0</v>
      </c>
      <c r="K245" s="137">
        <f t="shared" si="73"/>
        <v>0</v>
      </c>
      <c r="L245" s="73"/>
      <c r="N245" s="12"/>
      <c r="O245" s="29"/>
      <c r="P245" s="203"/>
      <c r="Q245" s="13"/>
    </row>
    <row r="246" spans="1:17">
      <c r="B246" s="12"/>
      <c r="C246" s="83" t="s">
        <v>1343</v>
      </c>
      <c r="D246" s="54" t="s">
        <v>586</v>
      </c>
      <c r="E246" s="54"/>
      <c r="F246" s="169">
        <v>0</v>
      </c>
      <c r="G246" s="56" t="s">
        <v>229</v>
      </c>
      <c r="H246" s="320">
        <v>0</v>
      </c>
      <c r="I246" s="136">
        <f t="shared" si="83"/>
        <v>0</v>
      </c>
      <c r="J246" s="137">
        <f t="shared" si="84"/>
        <v>0</v>
      </c>
      <c r="K246" s="137">
        <f t="shared" ref="K246:K248" si="85">IF($K$8=0, 0, I246/$K$8)</f>
        <v>0</v>
      </c>
      <c r="L246" s="73"/>
      <c r="N246" s="12"/>
      <c r="O246" s="29"/>
      <c r="P246" s="203"/>
      <c r="Q246" s="13"/>
    </row>
    <row r="247" spans="1:17">
      <c r="B247" s="12"/>
      <c r="C247" s="83" t="s">
        <v>1344</v>
      </c>
      <c r="D247" s="54" t="s">
        <v>587</v>
      </c>
      <c r="E247" s="54"/>
      <c r="F247" s="169">
        <v>0</v>
      </c>
      <c r="G247" s="56" t="s">
        <v>144</v>
      </c>
      <c r="H247" s="320">
        <v>850</v>
      </c>
      <c r="I247" s="136">
        <f t="shared" si="83"/>
        <v>0</v>
      </c>
      <c r="J247" s="137">
        <f t="shared" si="84"/>
        <v>0</v>
      </c>
      <c r="K247" s="137">
        <f t="shared" si="85"/>
        <v>0</v>
      </c>
      <c r="L247" s="73"/>
      <c r="N247" s="12"/>
      <c r="O247" s="29"/>
      <c r="P247" s="203"/>
      <c r="Q247" s="13"/>
    </row>
    <row r="248" spans="1:17">
      <c r="B248" s="12"/>
      <c r="C248" s="83" t="s">
        <v>1345</v>
      </c>
      <c r="D248" s="54" t="s">
        <v>588</v>
      </c>
      <c r="E248" s="54"/>
      <c r="F248" s="169">
        <v>0</v>
      </c>
      <c r="G248" s="56" t="s">
        <v>144</v>
      </c>
      <c r="H248" s="320">
        <v>3500</v>
      </c>
      <c r="I248" s="136">
        <f t="shared" ref="I248" si="86">IF(ISNUMBER(F248), F248 * H248, 0)</f>
        <v>0</v>
      </c>
      <c r="J248" s="137">
        <f t="shared" si="84"/>
        <v>0</v>
      </c>
      <c r="K248" s="137">
        <f t="shared" si="85"/>
        <v>0</v>
      </c>
      <c r="L248" s="73"/>
      <c r="N248" s="12"/>
      <c r="O248" s="29"/>
      <c r="P248" s="203"/>
      <c r="Q248" s="13"/>
    </row>
    <row r="249" spans="1:17">
      <c r="B249" s="12"/>
      <c r="C249" s="83" t="s">
        <v>1346</v>
      </c>
      <c r="D249" s="54" t="s">
        <v>589</v>
      </c>
      <c r="E249" s="54"/>
      <c r="F249" s="169">
        <v>0</v>
      </c>
      <c r="G249" s="56" t="s">
        <v>144</v>
      </c>
      <c r="H249" s="320">
        <v>12000</v>
      </c>
      <c r="I249" s="136">
        <f t="shared" si="83"/>
        <v>0</v>
      </c>
      <c r="J249" s="137">
        <f t="shared" si="84"/>
        <v>0</v>
      </c>
      <c r="K249" s="137">
        <f t="shared" si="73"/>
        <v>0</v>
      </c>
      <c r="L249" s="73"/>
      <c r="N249" s="12"/>
      <c r="O249" s="29"/>
      <c r="P249" s="203"/>
      <c r="Q249" s="13"/>
    </row>
    <row r="250" spans="1:17" ht="14.25" thickBot="1">
      <c r="A250" s="7" t="s">
        <v>403</v>
      </c>
      <c r="B250" s="12"/>
      <c r="C250" s="79"/>
      <c r="D250" s="54"/>
      <c r="E250" s="54"/>
      <c r="F250" s="169"/>
      <c r="G250" s="56"/>
      <c r="H250" s="320"/>
      <c r="I250" s="57"/>
      <c r="J250" s="77"/>
      <c r="K250" s="77"/>
      <c r="L250" s="73"/>
      <c r="N250" s="12"/>
      <c r="O250" s="29"/>
      <c r="P250" s="203"/>
      <c r="Q250" s="13"/>
    </row>
    <row r="251" spans="1:17" ht="18" customHeight="1">
      <c r="A251" s="7" t="s">
        <v>403</v>
      </c>
      <c r="B251" s="12"/>
      <c r="C251" s="443" t="s">
        <v>590</v>
      </c>
      <c r="D251" s="444"/>
      <c r="E251" s="318">
        <f>SUM(I252:I255)</f>
        <v>0</v>
      </c>
      <c r="F251" s="178"/>
      <c r="G251" s="179"/>
      <c r="H251" s="180"/>
      <c r="I251" s="191"/>
      <c r="J251" s="192"/>
      <c r="K251" s="192"/>
      <c r="L251" s="73"/>
      <c r="N251" s="12"/>
      <c r="O251" s="204"/>
      <c r="P251" s="205"/>
      <c r="Q251" s="13"/>
    </row>
    <row r="252" spans="1:17">
      <c r="A252" s="7" t="s">
        <v>403</v>
      </c>
      <c r="B252" s="12"/>
      <c r="C252" s="79"/>
      <c r="D252" s="80"/>
      <c r="E252" s="54"/>
      <c r="F252" s="169"/>
      <c r="G252" s="56"/>
      <c r="H252" s="320"/>
      <c r="I252" s="57"/>
      <c r="J252" s="77"/>
      <c r="K252" s="77"/>
      <c r="L252" s="73"/>
      <c r="N252" s="12"/>
      <c r="O252" s="29"/>
      <c r="P252" s="203"/>
      <c r="Q252" s="13"/>
    </row>
    <row r="253" spans="1:17">
      <c r="A253" s="7" t="s">
        <v>403</v>
      </c>
      <c r="B253" s="12"/>
      <c r="C253" s="53" t="s">
        <v>1347</v>
      </c>
      <c r="D253" s="54" t="s">
        <v>591</v>
      </c>
      <c r="E253" s="54"/>
      <c r="F253" s="169">
        <v>0</v>
      </c>
      <c r="G253" s="56" t="s">
        <v>229</v>
      </c>
      <c r="H253" s="320">
        <v>0</v>
      </c>
      <c r="I253" s="136">
        <f t="shared" ref="I253:I254" si="87">IF(ISNUMBER(F253), F253 * H253, 0)</f>
        <v>0</v>
      </c>
      <c r="J253" s="137">
        <f t="shared" ref="J253:J254" si="88">IF($J$8=0, 0, I253/$J$8)</f>
        <v>0</v>
      </c>
      <c r="K253" s="137">
        <f t="shared" si="73"/>
        <v>0</v>
      </c>
      <c r="L253" s="73"/>
      <c r="N253" s="12"/>
      <c r="O253" s="29"/>
      <c r="P253" s="203"/>
      <c r="Q253" s="13"/>
    </row>
    <row r="254" spans="1:17">
      <c r="A254" s="7" t="s">
        <v>403</v>
      </c>
      <c r="B254" s="12"/>
      <c r="C254" s="53" t="s">
        <v>1348</v>
      </c>
      <c r="D254" s="54" t="s">
        <v>592</v>
      </c>
      <c r="E254" s="54"/>
      <c r="F254" s="169">
        <v>0</v>
      </c>
      <c r="G254" s="56" t="s">
        <v>229</v>
      </c>
      <c r="H254" s="320">
        <v>0</v>
      </c>
      <c r="I254" s="136">
        <f t="shared" si="87"/>
        <v>0</v>
      </c>
      <c r="J254" s="137">
        <f t="shared" si="88"/>
        <v>0</v>
      </c>
      <c r="K254" s="137">
        <f t="shared" si="73"/>
        <v>0</v>
      </c>
      <c r="L254" s="73"/>
      <c r="N254" s="12"/>
      <c r="O254" s="29"/>
      <c r="P254" s="203"/>
      <c r="Q254" s="13"/>
    </row>
    <row r="255" spans="1:17" ht="14.25" thickBot="1">
      <c r="A255" s="7" t="s">
        <v>403</v>
      </c>
      <c r="B255" s="12"/>
      <c r="C255" s="79"/>
      <c r="D255" s="54"/>
      <c r="E255" s="54"/>
      <c r="F255" s="169"/>
      <c r="G255" s="56"/>
      <c r="H255" s="320"/>
      <c r="I255" s="57"/>
      <c r="J255" s="77"/>
      <c r="K255" s="77"/>
      <c r="L255" s="73"/>
      <c r="N255" s="12"/>
      <c r="O255" s="29"/>
      <c r="P255" s="203"/>
      <c r="Q255" s="13"/>
    </row>
    <row r="256" spans="1:17" ht="18" customHeight="1">
      <c r="A256" s="7" t="s">
        <v>403</v>
      </c>
      <c r="B256" s="12"/>
      <c r="C256" s="443" t="s">
        <v>593</v>
      </c>
      <c r="D256" s="444"/>
      <c r="E256" s="318">
        <f>SUM(I257:I262)</f>
        <v>0</v>
      </c>
      <c r="F256" s="178"/>
      <c r="G256" s="179"/>
      <c r="H256" s="180"/>
      <c r="I256" s="191"/>
      <c r="J256" s="192"/>
      <c r="K256" s="192"/>
      <c r="L256" s="73"/>
      <c r="N256" s="12"/>
      <c r="O256" s="204"/>
      <c r="P256" s="205"/>
      <c r="Q256" s="13"/>
    </row>
    <row r="257" spans="1:17">
      <c r="A257" s="7" t="s">
        <v>403</v>
      </c>
      <c r="B257" s="12"/>
      <c r="C257" s="79"/>
      <c r="D257" s="80"/>
      <c r="E257" s="54"/>
      <c r="F257" s="169"/>
      <c r="G257" s="56"/>
      <c r="H257" s="320"/>
      <c r="I257" s="57"/>
      <c r="J257" s="77"/>
      <c r="K257" s="77"/>
      <c r="L257" s="73"/>
      <c r="N257" s="12"/>
      <c r="O257" s="29"/>
      <c r="P257" s="203"/>
      <c r="Q257" s="13"/>
    </row>
    <row r="258" spans="1:17">
      <c r="A258" s="7" t="s">
        <v>403</v>
      </c>
      <c r="B258" s="12"/>
      <c r="C258" s="53" t="s">
        <v>1349</v>
      </c>
      <c r="D258" s="54" t="s">
        <v>594</v>
      </c>
      <c r="E258" s="54"/>
      <c r="F258" s="169">
        <v>0</v>
      </c>
      <c r="G258" s="56" t="s">
        <v>229</v>
      </c>
      <c r="H258" s="320">
        <v>0</v>
      </c>
      <c r="I258" s="136">
        <f t="shared" ref="I258:I261" si="89">IF(ISNUMBER(F258), F258 * H258, 0)</f>
        <v>0</v>
      </c>
      <c r="J258" s="137">
        <f t="shared" ref="J258:J261" si="90">IF($J$8=0, 0, I258/$J$8)</f>
        <v>0</v>
      </c>
      <c r="K258" s="137">
        <f t="shared" si="73"/>
        <v>0</v>
      </c>
      <c r="L258" s="73"/>
      <c r="N258" s="12"/>
      <c r="O258" s="29"/>
      <c r="P258" s="203"/>
      <c r="Q258" s="13"/>
    </row>
    <row r="259" spans="1:17">
      <c r="A259" s="7" t="s">
        <v>403</v>
      </c>
      <c r="B259" s="12"/>
      <c r="C259" s="53" t="s">
        <v>1350</v>
      </c>
      <c r="D259" s="54" t="s">
        <v>595</v>
      </c>
      <c r="E259" s="54"/>
      <c r="F259" s="169">
        <v>0</v>
      </c>
      <c r="G259" s="56" t="s">
        <v>229</v>
      </c>
      <c r="H259" s="320">
        <v>0</v>
      </c>
      <c r="I259" s="136">
        <f t="shared" si="89"/>
        <v>0</v>
      </c>
      <c r="J259" s="137">
        <f t="shared" si="90"/>
        <v>0</v>
      </c>
      <c r="K259" s="137">
        <f t="shared" si="73"/>
        <v>0</v>
      </c>
      <c r="L259" s="73"/>
      <c r="N259" s="12"/>
      <c r="O259" s="29"/>
      <c r="P259" s="203"/>
      <c r="Q259" s="13"/>
    </row>
    <row r="260" spans="1:17">
      <c r="A260" s="7" t="s">
        <v>403</v>
      </c>
      <c r="B260" s="12"/>
      <c r="C260" s="53" t="s">
        <v>1351</v>
      </c>
      <c r="D260" s="54" t="s">
        <v>596</v>
      </c>
      <c r="E260" s="54"/>
      <c r="F260" s="169">
        <v>0</v>
      </c>
      <c r="G260" s="56" t="s">
        <v>229</v>
      </c>
      <c r="H260" s="320">
        <v>0</v>
      </c>
      <c r="I260" s="136">
        <f t="shared" si="89"/>
        <v>0</v>
      </c>
      <c r="J260" s="137">
        <f t="shared" si="90"/>
        <v>0</v>
      </c>
      <c r="K260" s="137">
        <f t="shared" si="73"/>
        <v>0</v>
      </c>
      <c r="L260" s="73"/>
      <c r="N260" s="12"/>
      <c r="O260" s="29"/>
      <c r="P260" s="203"/>
      <c r="Q260" s="13"/>
    </row>
    <row r="261" spans="1:17">
      <c r="B261" s="12"/>
      <c r="C261" s="53" t="s">
        <v>1352</v>
      </c>
      <c r="D261" s="54" t="s">
        <v>597</v>
      </c>
      <c r="E261" s="54"/>
      <c r="F261" s="169">
        <v>0</v>
      </c>
      <c r="G261" s="56" t="s">
        <v>229</v>
      </c>
      <c r="H261" s="320">
        <v>0</v>
      </c>
      <c r="I261" s="136">
        <f t="shared" si="89"/>
        <v>0</v>
      </c>
      <c r="J261" s="137">
        <f t="shared" si="90"/>
        <v>0</v>
      </c>
      <c r="K261" s="137">
        <f t="shared" si="73"/>
        <v>0</v>
      </c>
      <c r="L261" s="73"/>
      <c r="N261" s="12"/>
      <c r="O261" s="29"/>
      <c r="P261" s="203"/>
      <c r="Q261" s="13"/>
    </row>
    <row r="262" spans="1:17" ht="14.25" thickBot="1">
      <c r="A262" s="7" t="s">
        <v>403</v>
      </c>
      <c r="B262" s="12"/>
      <c r="C262" s="79"/>
      <c r="D262" s="54"/>
      <c r="E262" s="54"/>
      <c r="F262" s="169"/>
      <c r="G262" s="56"/>
      <c r="H262" s="320"/>
      <c r="I262" s="57"/>
      <c r="J262" s="77"/>
      <c r="K262" s="77"/>
      <c r="L262" s="73"/>
      <c r="N262" s="12"/>
      <c r="O262" s="29"/>
      <c r="P262" s="203"/>
      <c r="Q262" s="13"/>
    </row>
    <row r="263" spans="1:17" ht="18" customHeight="1">
      <c r="A263" s="7" t="s">
        <v>403</v>
      </c>
      <c r="B263" s="12"/>
      <c r="C263" s="443" t="s">
        <v>598</v>
      </c>
      <c r="D263" s="444"/>
      <c r="E263" s="318">
        <f>SUM(I264:I270)</f>
        <v>0</v>
      </c>
      <c r="F263" s="178"/>
      <c r="G263" s="179"/>
      <c r="H263" s="180"/>
      <c r="I263" s="191"/>
      <c r="J263" s="192"/>
      <c r="K263" s="192"/>
      <c r="L263" s="73"/>
      <c r="N263" s="12"/>
      <c r="O263" s="204"/>
      <c r="P263" s="205"/>
      <c r="Q263" s="13"/>
    </row>
    <row r="264" spans="1:17">
      <c r="B264" s="12"/>
      <c r="C264" s="79"/>
      <c r="D264" s="80"/>
      <c r="E264" s="54"/>
      <c r="F264" s="169"/>
      <c r="G264" s="56"/>
      <c r="H264" s="320"/>
      <c r="I264" s="57"/>
      <c r="J264" s="77"/>
      <c r="K264" s="77"/>
      <c r="L264" s="73"/>
      <c r="N264" s="12"/>
      <c r="O264" s="29"/>
      <c r="P264" s="203"/>
      <c r="Q264" s="13"/>
    </row>
    <row r="265" spans="1:17">
      <c r="B265" s="12"/>
      <c r="C265" s="53" t="s">
        <v>1353</v>
      </c>
      <c r="D265" s="54" t="s">
        <v>599</v>
      </c>
      <c r="E265" s="54"/>
      <c r="F265" s="169">
        <v>0</v>
      </c>
      <c r="G265" s="56" t="s">
        <v>417</v>
      </c>
      <c r="H265" s="320">
        <v>34</v>
      </c>
      <c r="I265" s="136">
        <f t="shared" ref="I265:I269" si="91">IF(ISNUMBER(F265), F265 * H265, 0)</f>
        <v>0</v>
      </c>
      <c r="J265" s="137">
        <f t="shared" ref="J265:J269" si="92">IF($J$8=0, 0, I265/$J$8)</f>
        <v>0</v>
      </c>
      <c r="K265" s="137">
        <f t="shared" si="73"/>
        <v>0</v>
      </c>
      <c r="L265" s="73"/>
      <c r="N265" s="12"/>
      <c r="O265" s="29"/>
      <c r="P265" s="203"/>
      <c r="Q265" s="13"/>
    </row>
    <row r="266" spans="1:17">
      <c r="B266" s="12"/>
      <c r="C266" s="53" t="s">
        <v>1354</v>
      </c>
      <c r="D266" s="54" t="s">
        <v>600</v>
      </c>
      <c r="E266" s="54"/>
      <c r="F266" s="169">
        <v>0</v>
      </c>
      <c r="G266" s="56" t="s">
        <v>229</v>
      </c>
      <c r="H266" s="320">
        <v>2</v>
      </c>
      <c r="I266" s="136">
        <f t="shared" si="91"/>
        <v>0</v>
      </c>
      <c r="J266" s="137">
        <f t="shared" si="92"/>
        <v>0</v>
      </c>
      <c r="K266" s="137">
        <f t="shared" ref="K266" si="93">IF($K$8=0, 0, I266/$K$8)</f>
        <v>0</v>
      </c>
      <c r="L266" s="73"/>
      <c r="N266" s="12"/>
      <c r="O266" s="29"/>
      <c r="P266" s="203"/>
      <c r="Q266" s="13"/>
    </row>
    <row r="267" spans="1:17">
      <c r="B267" s="12"/>
      <c r="C267" s="53" t="s">
        <v>1355</v>
      </c>
      <c r="D267" s="54" t="s">
        <v>601</v>
      </c>
      <c r="E267" s="54"/>
      <c r="F267" s="169">
        <v>0</v>
      </c>
      <c r="G267" s="56" t="s">
        <v>229</v>
      </c>
      <c r="H267" s="320">
        <v>3</v>
      </c>
      <c r="I267" s="136">
        <f t="shared" si="91"/>
        <v>0</v>
      </c>
      <c r="J267" s="137">
        <f t="shared" si="92"/>
        <v>0</v>
      </c>
      <c r="K267" s="137">
        <f t="shared" si="73"/>
        <v>0</v>
      </c>
      <c r="L267" s="73"/>
      <c r="N267" s="12"/>
      <c r="O267" s="29"/>
      <c r="P267" s="203"/>
      <c r="Q267" s="13"/>
    </row>
    <row r="268" spans="1:17">
      <c r="B268" s="12"/>
      <c r="C268" s="53" t="s">
        <v>1356</v>
      </c>
      <c r="D268" s="54" t="s">
        <v>602</v>
      </c>
      <c r="E268" s="54"/>
      <c r="F268" s="169">
        <v>0</v>
      </c>
      <c r="G268" s="56" t="s">
        <v>146</v>
      </c>
      <c r="H268" s="320">
        <v>55</v>
      </c>
      <c r="I268" s="136">
        <f t="shared" si="91"/>
        <v>0</v>
      </c>
      <c r="J268" s="137">
        <f t="shared" si="92"/>
        <v>0</v>
      </c>
      <c r="K268" s="137">
        <f t="shared" si="73"/>
        <v>0</v>
      </c>
      <c r="L268" s="73"/>
      <c r="N268" s="12"/>
      <c r="O268" s="29"/>
      <c r="P268" s="203"/>
      <c r="Q268" s="13"/>
    </row>
    <row r="269" spans="1:17">
      <c r="B269" s="12"/>
      <c r="C269" s="53" t="s">
        <v>1357</v>
      </c>
      <c r="D269" s="54" t="s">
        <v>603</v>
      </c>
      <c r="E269" s="54"/>
      <c r="F269" s="169">
        <v>0</v>
      </c>
      <c r="G269" s="56" t="s">
        <v>229</v>
      </c>
      <c r="H269" s="320">
        <v>5</v>
      </c>
      <c r="I269" s="136">
        <f t="shared" si="91"/>
        <v>0</v>
      </c>
      <c r="J269" s="137">
        <f t="shared" si="92"/>
        <v>0</v>
      </c>
      <c r="K269" s="137">
        <f t="shared" si="73"/>
        <v>0</v>
      </c>
      <c r="L269" s="73"/>
      <c r="N269" s="12"/>
      <c r="O269" s="29"/>
      <c r="P269" s="203"/>
      <c r="Q269" s="13"/>
    </row>
    <row r="270" spans="1:17" ht="14.25" thickBot="1">
      <c r="B270" s="12"/>
      <c r="C270" s="79"/>
      <c r="D270" s="54"/>
      <c r="E270" s="54"/>
      <c r="F270" s="169"/>
      <c r="G270" s="56"/>
      <c r="H270" s="320"/>
      <c r="I270" s="57"/>
      <c r="J270" s="77"/>
      <c r="K270" s="77"/>
      <c r="L270" s="73"/>
      <c r="N270" s="12"/>
      <c r="O270" s="29"/>
      <c r="P270" s="203"/>
      <c r="Q270" s="13"/>
    </row>
    <row r="271" spans="1:17" ht="18" customHeight="1">
      <c r="A271" s="7" t="s">
        <v>403</v>
      </c>
      <c r="B271" s="12"/>
      <c r="C271" s="443" t="s">
        <v>604</v>
      </c>
      <c r="D271" s="444"/>
      <c r="E271" s="318">
        <f>SUM(I272:I291)</f>
        <v>0</v>
      </c>
      <c r="F271" s="178"/>
      <c r="G271" s="179"/>
      <c r="H271" s="180"/>
      <c r="I271" s="191"/>
      <c r="J271" s="192"/>
      <c r="K271" s="192"/>
      <c r="L271" s="73"/>
      <c r="N271" s="12"/>
      <c r="O271" s="204"/>
      <c r="P271" s="205"/>
      <c r="Q271" s="13"/>
    </row>
    <row r="272" spans="1:17">
      <c r="B272" s="12"/>
      <c r="C272" s="79"/>
      <c r="D272" s="80"/>
      <c r="E272" s="54"/>
      <c r="F272" s="169"/>
      <c r="G272" s="56"/>
      <c r="H272" s="320"/>
      <c r="I272" s="57"/>
      <c r="J272" s="77"/>
      <c r="K272" s="77"/>
      <c r="L272" s="73"/>
      <c r="N272" s="12"/>
      <c r="O272" s="29"/>
      <c r="P272" s="203"/>
      <c r="Q272" s="13"/>
    </row>
    <row r="273" spans="2:17">
      <c r="B273" s="12"/>
      <c r="C273" s="53" t="s">
        <v>1358</v>
      </c>
      <c r="D273" s="54" t="s">
        <v>605</v>
      </c>
      <c r="E273" s="54"/>
      <c r="F273" s="169">
        <v>0</v>
      </c>
      <c r="G273" s="56" t="s">
        <v>229</v>
      </c>
      <c r="H273" s="320">
        <v>0</v>
      </c>
      <c r="I273" s="136">
        <f t="shared" ref="I273:I290" si="94">IF(ISNUMBER(F273), F273 * H273, 0)</f>
        <v>0</v>
      </c>
      <c r="J273" s="137">
        <f t="shared" ref="J273:J290" si="95">IF($J$8=0, 0, I273/$J$8)</f>
        <v>0</v>
      </c>
      <c r="K273" s="137">
        <f t="shared" si="73"/>
        <v>0</v>
      </c>
      <c r="L273" s="73"/>
      <c r="N273" s="12"/>
      <c r="O273" s="29"/>
      <c r="P273" s="203"/>
      <c r="Q273" s="13"/>
    </row>
    <row r="274" spans="2:17">
      <c r="B274" s="12"/>
      <c r="C274" s="53" t="s">
        <v>1359</v>
      </c>
      <c r="D274" s="84" t="s">
        <v>606</v>
      </c>
      <c r="E274" s="54"/>
      <c r="F274" s="169">
        <v>0</v>
      </c>
      <c r="G274" s="56" t="s">
        <v>515</v>
      </c>
      <c r="H274" s="320">
        <v>40</v>
      </c>
      <c r="I274" s="136">
        <f t="shared" si="94"/>
        <v>0</v>
      </c>
      <c r="J274" s="137">
        <f t="shared" si="95"/>
        <v>0</v>
      </c>
      <c r="K274" s="137">
        <f t="shared" si="73"/>
        <v>0</v>
      </c>
      <c r="L274" s="73"/>
      <c r="N274" s="12"/>
      <c r="O274" s="29"/>
      <c r="P274" s="203"/>
      <c r="Q274" s="13"/>
    </row>
    <row r="275" spans="2:17">
      <c r="B275" s="12"/>
      <c r="C275" s="53" t="s">
        <v>1360</v>
      </c>
      <c r="D275" s="84" t="s">
        <v>607</v>
      </c>
      <c r="E275" s="54"/>
      <c r="F275" s="169">
        <v>0</v>
      </c>
      <c r="G275" s="56" t="s">
        <v>515</v>
      </c>
      <c r="H275" s="320">
        <v>67</v>
      </c>
      <c r="I275" s="136">
        <f t="shared" si="94"/>
        <v>0</v>
      </c>
      <c r="J275" s="137">
        <f t="shared" si="95"/>
        <v>0</v>
      </c>
      <c r="K275" s="137">
        <f t="shared" si="73"/>
        <v>0</v>
      </c>
      <c r="L275" s="73"/>
      <c r="N275" s="12"/>
      <c r="O275" s="29"/>
      <c r="P275" s="203"/>
      <c r="Q275" s="13"/>
    </row>
    <row r="276" spans="2:17">
      <c r="B276" s="12"/>
      <c r="C276" s="53" t="s">
        <v>1361</v>
      </c>
      <c r="D276" s="54" t="s">
        <v>608</v>
      </c>
      <c r="E276" s="54"/>
      <c r="F276" s="169">
        <v>0</v>
      </c>
      <c r="G276" s="56" t="s">
        <v>229</v>
      </c>
      <c r="H276" s="320">
        <v>0</v>
      </c>
      <c r="I276" s="136">
        <f t="shared" si="94"/>
        <v>0</v>
      </c>
      <c r="J276" s="137">
        <f t="shared" si="95"/>
        <v>0</v>
      </c>
      <c r="K276" s="137">
        <f t="shared" si="73"/>
        <v>0</v>
      </c>
      <c r="L276" s="73"/>
      <c r="N276" s="12"/>
      <c r="O276" s="29"/>
      <c r="P276" s="203"/>
      <c r="Q276" s="13"/>
    </row>
    <row r="277" spans="2:17">
      <c r="B277" s="12"/>
      <c r="C277" s="53" t="s">
        <v>1362</v>
      </c>
      <c r="D277" s="54" t="s">
        <v>609</v>
      </c>
      <c r="E277" s="54"/>
      <c r="F277" s="169">
        <v>0</v>
      </c>
      <c r="G277" s="56" t="s">
        <v>229</v>
      </c>
      <c r="H277" s="320">
        <v>0</v>
      </c>
      <c r="I277" s="136">
        <f t="shared" si="94"/>
        <v>0</v>
      </c>
      <c r="J277" s="137">
        <f t="shared" si="95"/>
        <v>0</v>
      </c>
      <c r="K277" s="137">
        <f t="shared" si="73"/>
        <v>0</v>
      </c>
      <c r="L277" s="73"/>
      <c r="N277" s="12"/>
      <c r="O277" s="29"/>
      <c r="P277" s="203"/>
      <c r="Q277" s="13"/>
    </row>
    <row r="278" spans="2:17">
      <c r="B278" s="12"/>
      <c r="C278" s="53" t="s">
        <v>1363</v>
      </c>
      <c r="D278" s="54" t="s">
        <v>610</v>
      </c>
      <c r="E278" s="54"/>
      <c r="F278" s="169">
        <v>0</v>
      </c>
      <c r="G278" s="56" t="s">
        <v>229</v>
      </c>
      <c r="H278" s="320">
        <v>0</v>
      </c>
      <c r="I278" s="136">
        <f t="shared" si="94"/>
        <v>0</v>
      </c>
      <c r="J278" s="137">
        <f t="shared" si="95"/>
        <v>0</v>
      </c>
      <c r="K278" s="137">
        <f t="shared" si="73"/>
        <v>0</v>
      </c>
      <c r="L278" s="73"/>
      <c r="N278" s="12"/>
      <c r="O278" s="29"/>
      <c r="P278" s="203"/>
      <c r="Q278" s="13"/>
    </row>
    <row r="279" spans="2:17">
      <c r="B279" s="12"/>
      <c r="C279" s="53" t="s">
        <v>1364</v>
      </c>
      <c r="D279" s="54" t="s">
        <v>611</v>
      </c>
      <c r="E279" s="54"/>
      <c r="F279" s="169">
        <v>0</v>
      </c>
      <c r="G279" s="56" t="s">
        <v>146</v>
      </c>
      <c r="H279" s="320">
        <v>34</v>
      </c>
      <c r="I279" s="136">
        <f t="shared" si="94"/>
        <v>0</v>
      </c>
      <c r="J279" s="137">
        <f t="shared" si="95"/>
        <v>0</v>
      </c>
      <c r="K279" s="137">
        <f t="shared" si="73"/>
        <v>0</v>
      </c>
      <c r="L279" s="73"/>
      <c r="N279" s="12"/>
      <c r="O279" s="29"/>
      <c r="P279" s="203"/>
      <c r="Q279" s="13"/>
    </row>
    <row r="280" spans="2:17">
      <c r="B280" s="12"/>
      <c r="C280" s="53" t="s">
        <v>1365</v>
      </c>
      <c r="D280" s="54" t="s">
        <v>612</v>
      </c>
      <c r="E280" s="54"/>
      <c r="F280" s="169">
        <v>0</v>
      </c>
      <c r="G280" s="56" t="s">
        <v>229</v>
      </c>
      <c r="H280" s="320">
        <v>0</v>
      </c>
      <c r="I280" s="136">
        <f t="shared" si="94"/>
        <v>0</v>
      </c>
      <c r="J280" s="137">
        <f t="shared" si="95"/>
        <v>0</v>
      </c>
      <c r="K280" s="137">
        <f t="shared" si="73"/>
        <v>0</v>
      </c>
      <c r="L280" s="73"/>
      <c r="N280" s="12"/>
      <c r="O280" s="29"/>
      <c r="P280" s="203"/>
      <c r="Q280" s="13"/>
    </row>
    <row r="281" spans="2:17">
      <c r="B281" s="12"/>
      <c r="C281" s="53" t="s">
        <v>1366</v>
      </c>
      <c r="D281" s="84" t="s">
        <v>613</v>
      </c>
      <c r="E281" s="54"/>
      <c r="F281" s="169">
        <v>0</v>
      </c>
      <c r="G281" s="56" t="s">
        <v>141</v>
      </c>
      <c r="H281" s="320">
        <v>29</v>
      </c>
      <c r="I281" s="136">
        <f t="shared" si="94"/>
        <v>0</v>
      </c>
      <c r="J281" s="137">
        <f t="shared" si="95"/>
        <v>0</v>
      </c>
      <c r="K281" s="137">
        <f t="shared" si="73"/>
        <v>0</v>
      </c>
      <c r="L281" s="73"/>
      <c r="N281" s="12"/>
      <c r="O281" s="29"/>
      <c r="P281" s="203"/>
      <c r="Q281" s="13"/>
    </row>
    <row r="282" spans="2:17">
      <c r="B282" s="12"/>
      <c r="C282" s="53" t="s">
        <v>1367</v>
      </c>
      <c r="D282" s="84" t="s">
        <v>614</v>
      </c>
      <c r="E282" s="54"/>
      <c r="F282" s="169">
        <v>0</v>
      </c>
      <c r="G282" s="56" t="s">
        <v>141</v>
      </c>
      <c r="H282" s="320">
        <v>29</v>
      </c>
      <c r="I282" s="136">
        <f t="shared" si="94"/>
        <v>0</v>
      </c>
      <c r="J282" s="137">
        <f t="shared" si="95"/>
        <v>0</v>
      </c>
      <c r="K282" s="137">
        <f t="shared" si="73"/>
        <v>0</v>
      </c>
      <c r="L282" s="73"/>
      <c r="N282" s="12"/>
      <c r="O282" s="29"/>
      <c r="P282" s="203"/>
      <c r="Q282" s="13"/>
    </row>
    <row r="283" spans="2:17">
      <c r="B283" s="12"/>
      <c r="C283" s="53" t="s">
        <v>1368</v>
      </c>
      <c r="D283" s="84" t="s">
        <v>615</v>
      </c>
      <c r="E283" s="54"/>
      <c r="F283" s="169">
        <v>0</v>
      </c>
      <c r="G283" s="56" t="s">
        <v>141</v>
      </c>
      <c r="H283" s="320">
        <v>48</v>
      </c>
      <c r="I283" s="136">
        <f t="shared" si="94"/>
        <v>0</v>
      </c>
      <c r="J283" s="137">
        <f t="shared" si="95"/>
        <v>0</v>
      </c>
      <c r="K283" s="137">
        <f t="shared" si="73"/>
        <v>0</v>
      </c>
      <c r="L283" s="73"/>
      <c r="N283" s="12"/>
      <c r="O283" s="29"/>
      <c r="P283" s="203"/>
      <c r="Q283" s="13"/>
    </row>
    <row r="284" spans="2:17">
      <c r="B284" s="12"/>
      <c r="C284" s="53" t="s">
        <v>1369</v>
      </c>
      <c r="D284" s="84" t="s">
        <v>616</v>
      </c>
      <c r="E284" s="54"/>
      <c r="F284" s="169">
        <v>0</v>
      </c>
      <c r="G284" s="56" t="s">
        <v>146</v>
      </c>
      <c r="H284" s="320">
        <v>11.5</v>
      </c>
      <c r="I284" s="136">
        <f t="shared" si="94"/>
        <v>0</v>
      </c>
      <c r="J284" s="137">
        <f t="shared" si="95"/>
        <v>0</v>
      </c>
      <c r="K284" s="137">
        <f t="shared" si="73"/>
        <v>0</v>
      </c>
      <c r="L284" s="73"/>
      <c r="N284" s="12"/>
      <c r="O284" s="29"/>
      <c r="P284" s="203"/>
      <c r="Q284" s="13"/>
    </row>
    <row r="285" spans="2:17">
      <c r="B285" s="12"/>
      <c r="C285" s="53" t="s">
        <v>1370</v>
      </c>
      <c r="D285" s="84" t="s">
        <v>617</v>
      </c>
      <c r="E285" s="54"/>
      <c r="F285" s="169">
        <v>0</v>
      </c>
      <c r="G285" s="56" t="s">
        <v>146</v>
      </c>
      <c r="H285" s="320">
        <v>14</v>
      </c>
      <c r="I285" s="136">
        <f t="shared" si="94"/>
        <v>0</v>
      </c>
      <c r="J285" s="137">
        <f t="shared" si="95"/>
        <v>0</v>
      </c>
      <c r="K285" s="137">
        <f t="shared" si="73"/>
        <v>0</v>
      </c>
      <c r="L285" s="73"/>
      <c r="N285" s="12"/>
      <c r="O285" s="29"/>
      <c r="P285" s="203"/>
      <c r="Q285" s="13"/>
    </row>
    <row r="286" spans="2:17">
      <c r="B286" s="12"/>
      <c r="C286" s="53" t="s">
        <v>1371</v>
      </c>
      <c r="D286" s="54" t="s">
        <v>618</v>
      </c>
      <c r="E286" s="54"/>
      <c r="F286" s="169">
        <v>0</v>
      </c>
      <c r="G286" s="56" t="s">
        <v>229</v>
      </c>
      <c r="H286" s="320">
        <v>1500</v>
      </c>
      <c r="I286" s="136">
        <f t="shared" si="94"/>
        <v>0</v>
      </c>
      <c r="J286" s="137">
        <f t="shared" si="95"/>
        <v>0</v>
      </c>
      <c r="K286" s="137">
        <f t="shared" si="73"/>
        <v>0</v>
      </c>
      <c r="L286" s="73"/>
      <c r="N286" s="12"/>
      <c r="O286" s="29"/>
      <c r="P286" s="203"/>
      <c r="Q286" s="13"/>
    </row>
    <row r="287" spans="2:17">
      <c r="B287" s="12"/>
      <c r="C287" s="53" t="s">
        <v>1372</v>
      </c>
      <c r="D287" s="54" t="s">
        <v>619</v>
      </c>
      <c r="E287" s="54"/>
      <c r="F287" s="169">
        <v>0</v>
      </c>
      <c r="G287" s="56" t="s">
        <v>146</v>
      </c>
      <c r="H287" s="320">
        <v>14</v>
      </c>
      <c r="I287" s="136">
        <f t="shared" si="94"/>
        <v>0</v>
      </c>
      <c r="J287" s="137">
        <f t="shared" si="95"/>
        <v>0</v>
      </c>
      <c r="K287" s="137">
        <f t="shared" ref="K287:K303" si="96">IF($K$8=0, 0, I287/$K$8)</f>
        <v>0</v>
      </c>
      <c r="L287" s="73"/>
      <c r="N287" s="12"/>
      <c r="O287" s="29"/>
      <c r="P287" s="203"/>
      <c r="Q287" s="13"/>
    </row>
    <row r="288" spans="2:17">
      <c r="B288" s="12"/>
      <c r="C288" s="53" t="s">
        <v>1373</v>
      </c>
      <c r="D288" s="54" t="s">
        <v>620</v>
      </c>
      <c r="E288" s="54"/>
      <c r="F288" s="169">
        <v>0</v>
      </c>
      <c r="G288" s="56" t="s">
        <v>141</v>
      </c>
      <c r="H288" s="320">
        <v>55</v>
      </c>
      <c r="I288" s="136">
        <f t="shared" si="94"/>
        <v>0</v>
      </c>
      <c r="J288" s="137">
        <f t="shared" si="95"/>
        <v>0</v>
      </c>
      <c r="K288" s="137">
        <f t="shared" si="96"/>
        <v>0</v>
      </c>
      <c r="L288" s="73"/>
      <c r="N288" s="12"/>
      <c r="O288" s="29"/>
      <c r="P288" s="203"/>
      <c r="Q288" s="13"/>
    </row>
    <row r="289" spans="1:17">
      <c r="B289" s="12"/>
      <c r="C289" s="53" t="s">
        <v>1374</v>
      </c>
      <c r="D289" s="54" t="s">
        <v>621</v>
      </c>
      <c r="E289" s="54"/>
      <c r="F289" s="169">
        <v>0</v>
      </c>
      <c r="G289" s="56" t="s">
        <v>146</v>
      </c>
      <c r="H289" s="320">
        <v>55</v>
      </c>
      <c r="I289" s="136">
        <f t="shared" si="94"/>
        <v>0</v>
      </c>
      <c r="J289" s="137">
        <f t="shared" si="95"/>
        <v>0</v>
      </c>
      <c r="K289" s="137">
        <f t="shared" si="96"/>
        <v>0</v>
      </c>
      <c r="L289" s="73"/>
      <c r="N289" s="12"/>
      <c r="O289" s="29"/>
      <c r="P289" s="203"/>
      <c r="Q289" s="13"/>
    </row>
    <row r="290" spans="1:17">
      <c r="B290" s="12"/>
      <c r="C290" s="53" t="s">
        <v>1375</v>
      </c>
      <c r="D290" s="54" t="s">
        <v>622</v>
      </c>
      <c r="E290" s="54"/>
      <c r="F290" s="169">
        <v>0</v>
      </c>
      <c r="G290" s="56" t="s">
        <v>146</v>
      </c>
      <c r="H290" s="320">
        <v>15</v>
      </c>
      <c r="I290" s="136">
        <f t="shared" si="94"/>
        <v>0</v>
      </c>
      <c r="J290" s="137">
        <f t="shared" si="95"/>
        <v>0</v>
      </c>
      <c r="K290" s="137">
        <f t="shared" si="96"/>
        <v>0</v>
      </c>
      <c r="L290" s="73"/>
      <c r="N290" s="12"/>
      <c r="O290" s="29"/>
      <c r="P290" s="203"/>
      <c r="Q290" s="13"/>
    </row>
    <row r="291" spans="1:17" ht="14.25" thickBot="1">
      <c r="B291" s="12"/>
      <c r="C291" s="79"/>
      <c r="D291" s="54"/>
      <c r="E291" s="54"/>
      <c r="F291" s="169"/>
      <c r="G291" s="56"/>
      <c r="H291" s="320"/>
      <c r="I291" s="57"/>
      <c r="J291" s="77"/>
      <c r="K291" s="77"/>
      <c r="L291" s="73"/>
      <c r="N291" s="12"/>
      <c r="O291" s="29"/>
      <c r="P291" s="203"/>
      <c r="Q291" s="13"/>
    </row>
    <row r="292" spans="1:17" ht="18" customHeight="1">
      <c r="A292" s="7" t="s">
        <v>403</v>
      </c>
      <c r="B292" s="12"/>
      <c r="C292" s="443" t="s">
        <v>623</v>
      </c>
      <c r="D292" s="444"/>
      <c r="E292" s="318">
        <f>SUM(I293:I304)</f>
        <v>0</v>
      </c>
      <c r="F292" s="178"/>
      <c r="G292" s="179"/>
      <c r="H292" s="180"/>
      <c r="I292" s="191"/>
      <c r="J292" s="192"/>
      <c r="K292" s="192"/>
      <c r="L292" s="73"/>
      <c r="N292" s="12"/>
      <c r="O292" s="204"/>
      <c r="P292" s="205"/>
      <c r="Q292" s="13"/>
    </row>
    <row r="293" spans="1:17">
      <c r="B293" s="12"/>
      <c r="C293" s="79"/>
      <c r="D293" s="80"/>
      <c r="E293" s="54"/>
      <c r="F293" s="169"/>
      <c r="G293" s="56"/>
      <c r="H293" s="320"/>
      <c r="I293" s="57"/>
      <c r="J293" s="77"/>
      <c r="K293" s="77"/>
      <c r="L293" s="73"/>
      <c r="N293" s="12"/>
      <c r="O293" s="29"/>
      <c r="P293" s="203"/>
      <c r="Q293" s="13"/>
    </row>
    <row r="294" spans="1:17">
      <c r="B294" s="12"/>
      <c r="C294" s="53" t="s">
        <v>1376</v>
      </c>
      <c r="D294" s="54" t="s">
        <v>624</v>
      </c>
      <c r="E294" s="54"/>
      <c r="F294" s="169">
        <v>0</v>
      </c>
      <c r="G294" s="56" t="s">
        <v>229</v>
      </c>
      <c r="H294" s="320">
        <v>0</v>
      </c>
      <c r="I294" s="136">
        <f t="shared" ref="I294:I303" si="97">IF(ISNUMBER(F294), F294 * H294, 0)</f>
        <v>0</v>
      </c>
      <c r="J294" s="137">
        <f t="shared" ref="J294:J303" si="98">IF($J$8=0, 0, I294/$J$8)</f>
        <v>0</v>
      </c>
      <c r="K294" s="137">
        <f t="shared" si="96"/>
        <v>0</v>
      </c>
      <c r="L294" s="73"/>
      <c r="N294" s="12"/>
      <c r="O294" s="29"/>
      <c r="P294" s="203"/>
      <c r="Q294" s="13"/>
    </row>
    <row r="295" spans="1:17">
      <c r="B295" s="12"/>
      <c r="C295" s="53" t="s">
        <v>1377</v>
      </c>
      <c r="D295" s="84" t="s">
        <v>625</v>
      </c>
      <c r="E295" s="54"/>
      <c r="F295" s="169">
        <v>0</v>
      </c>
      <c r="G295" s="56" t="s">
        <v>141</v>
      </c>
      <c r="H295" s="320">
        <v>112</v>
      </c>
      <c r="I295" s="136">
        <f t="shared" si="97"/>
        <v>0</v>
      </c>
      <c r="J295" s="137">
        <f t="shared" si="98"/>
        <v>0</v>
      </c>
      <c r="K295" s="137">
        <f t="shared" si="96"/>
        <v>0</v>
      </c>
      <c r="L295" s="73"/>
      <c r="N295" s="12"/>
      <c r="O295" s="29"/>
      <c r="P295" s="203"/>
      <c r="Q295" s="13"/>
    </row>
    <row r="296" spans="1:17">
      <c r="B296" s="12"/>
      <c r="C296" s="53" t="s">
        <v>1378</v>
      </c>
      <c r="D296" s="84" t="s">
        <v>626</v>
      </c>
      <c r="E296" s="54"/>
      <c r="F296" s="169">
        <v>0</v>
      </c>
      <c r="G296" s="56" t="s">
        <v>141</v>
      </c>
      <c r="H296" s="320">
        <v>104</v>
      </c>
      <c r="I296" s="136">
        <f t="shared" ref="I296" si="99">IF(ISNUMBER(F296), F296 * H296, 0)</f>
        <v>0</v>
      </c>
      <c r="J296" s="137">
        <f t="shared" si="98"/>
        <v>0</v>
      </c>
      <c r="K296" s="137">
        <f t="shared" ref="K296" si="100">IF($K$8=0, 0, I296/$K$8)</f>
        <v>0</v>
      </c>
      <c r="L296" s="73"/>
      <c r="N296" s="12"/>
      <c r="O296" s="29"/>
      <c r="P296" s="203"/>
      <c r="Q296" s="13"/>
    </row>
    <row r="297" spans="1:17">
      <c r="B297" s="12"/>
      <c r="C297" s="53" t="s">
        <v>1379</v>
      </c>
      <c r="D297" s="84" t="s">
        <v>627</v>
      </c>
      <c r="E297" s="54"/>
      <c r="F297" s="169">
        <v>0</v>
      </c>
      <c r="G297" s="56" t="s">
        <v>144</v>
      </c>
      <c r="H297" s="320">
        <v>6500</v>
      </c>
      <c r="I297" s="136">
        <f t="shared" si="97"/>
        <v>0</v>
      </c>
      <c r="J297" s="137">
        <f t="shared" si="98"/>
        <v>0</v>
      </c>
      <c r="K297" s="137">
        <f t="shared" si="96"/>
        <v>0</v>
      </c>
      <c r="L297" s="73"/>
      <c r="N297" s="12"/>
      <c r="O297" s="29"/>
      <c r="P297" s="203"/>
      <c r="Q297" s="13"/>
    </row>
    <row r="298" spans="1:17">
      <c r="B298" s="12"/>
      <c r="C298" s="53" t="s">
        <v>1380</v>
      </c>
      <c r="D298" s="84" t="s">
        <v>628</v>
      </c>
      <c r="E298" s="54"/>
      <c r="F298" s="169">
        <v>0</v>
      </c>
      <c r="G298" s="56" t="s">
        <v>141</v>
      </c>
      <c r="H298" s="320">
        <v>90</v>
      </c>
      <c r="I298" s="136">
        <f t="shared" ref="I298" si="101">IF(ISNUMBER(F298), F298 * H298, 0)</f>
        <v>0</v>
      </c>
      <c r="J298" s="137">
        <f t="shared" si="98"/>
        <v>0</v>
      </c>
      <c r="K298" s="137">
        <f t="shared" ref="K298" si="102">IF($K$8=0, 0, I298/$K$8)</f>
        <v>0</v>
      </c>
      <c r="L298" s="73"/>
      <c r="N298" s="12"/>
      <c r="O298" s="29"/>
      <c r="P298" s="203"/>
      <c r="Q298" s="13"/>
    </row>
    <row r="299" spans="1:17">
      <c r="B299" s="12"/>
      <c r="C299" s="53" t="s">
        <v>1381</v>
      </c>
      <c r="D299" s="84" t="s">
        <v>629</v>
      </c>
      <c r="E299" s="54"/>
      <c r="F299" s="169">
        <v>0</v>
      </c>
      <c r="G299" s="56" t="s">
        <v>141</v>
      </c>
      <c r="H299" s="320">
        <v>120</v>
      </c>
      <c r="I299" s="136">
        <f t="shared" si="97"/>
        <v>0</v>
      </c>
      <c r="J299" s="137">
        <f t="shared" si="98"/>
        <v>0</v>
      </c>
      <c r="K299" s="137">
        <f t="shared" si="96"/>
        <v>0</v>
      </c>
      <c r="L299" s="73"/>
      <c r="N299" s="12"/>
      <c r="O299" s="29"/>
      <c r="P299" s="203"/>
      <c r="Q299" s="13"/>
    </row>
    <row r="300" spans="1:17">
      <c r="B300" s="12"/>
      <c r="C300" s="53" t="s">
        <v>1382</v>
      </c>
      <c r="D300" s="84" t="s">
        <v>630</v>
      </c>
      <c r="E300" s="54"/>
      <c r="F300" s="169">
        <v>0</v>
      </c>
      <c r="G300" s="56" t="s">
        <v>141</v>
      </c>
      <c r="H300" s="320">
        <v>200</v>
      </c>
      <c r="I300" s="136">
        <f t="shared" ref="I300" si="103">IF(ISNUMBER(F300), F300 * H300, 0)</f>
        <v>0</v>
      </c>
      <c r="J300" s="137">
        <f t="shared" si="98"/>
        <v>0</v>
      </c>
      <c r="K300" s="137">
        <f t="shared" ref="K300" si="104">IF($K$8=0, 0, I300/$K$8)</f>
        <v>0</v>
      </c>
      <c r="L300" s="73"/>
      <c r="N300" s="12"/>
      <c r="O300" s="29"/>
      <c r="P300" s="203"/>
      <c r="Q300" s="13"/>
    </row>
    <row r="301" spans="1:17">
      <c r="B301" s="12"/>
      <c r="C301" s="53" t="s">
        <v>1383</v>
      </c>
      <c r="D301" s="84" t="s">
        <v>631</v>
      </c>
      <c r="E301" s="54"/>
      <c r="F301" s="169">
        <v>0</v>
      </c>
      <c r="G301" s="56" t="s">
        <v>141</v>
      </c>
      <c r="H301" s="320">
        <v>350</v>
      </c>
      <c r="I301" s="136">
        <f t="shared" si="97"/>
        <v>0</v>
      </c>
      <c r="J301" s="137">
        <f t="shared" si="98"/>
        <v>0</v>
      </c>
      <c r="K301" s="137">
        <f t="shared" si="96"/>
        <v>0</v>
      </c>
      <c r="L301" s="73"/>
      <c r="N301" s="12"/>
      <c r="O301" s="29"/>
      <c r="P301" s="203"/>
      <c r="Q301" s="13"/>
    </row>
    <row r="302" spans="1:17">
      <c r="B302" s="12"/>
      <c r="C302" s="53" t="s">
        <v>1384</v>
      </c>
      <c r="D302" s="84" t="s">
        <v>632</v>
      </c>
      <c r="E302" s="54"/>
      <c r="F302" s="169">
        <v>0</v>
      </c>
      <c r="G302" s="56" t="s">
        <v>144</v>
      </c>
      <c r="H302" s="320">
        <v>6500</v>
      </c>
      <c r="I302" s="136">
        <f t="shared" ref="I302" si="105">IF(ISNUMBER(F302), F302 * H302, 0)</f>
        <v>0</v>
      </c>
      <c r="J302" s="137">
        <f t="shared" si="98"/>
        <v>0</v>
      </c>
      <c r="K302" s="137">
        <f t="shared" ref="K302" si="106">IF($K$8=0, 0, I302/$K$8)</f>
        <v>0</v>
      </c>
      <c r="L302" s="73"/>
      <c r="N302" s="12"/>
      <c r="O302" s="29"/>
      <c r="P302" s="203"/>
      <c r="Q302" s="13"/>
    </row>
    <row r="303" spans="1:17">
      <c r="B303" s="12"/>
      <c r="C303" s="53" t="s">
        <v>1385</v>
      </c>
      <c r="D303" s="84" t="s">
        <v>633</v>
      </c>
      <c r="E303" s="54"/>
      <c r="F303" s="169">
        <v>0</v>
      </c>
      <c r="G303" s="56" t="s">
        <v>634</v>
      </c>
      <c r="H303" s="320">
        <v>6</v>
      </c>
      <c r="I303" s="136">
        <f t="shared" si="97"/>
        <v>0</v>
      </c>
      <c r="J303" s="137">
        <f t="shared" si="98"/>
        <v>0</v>
      </c>
      <c r="K303" s="137">
        <f t="shared" si="96"/>
        <v>0</v>
      </c>
      <c r="L303" s="73"/>
      <c r="N303" s="12"/>
      <c r="O303" s="29"/>
      <c r="P303" s="203"/>
      <c r="Q303" s="13"/>
    </row>
    <row r="304" spans="1:17" ht="14.25" thickBot="1">
      <c r="B304" s="12"/>
      <c r="C304" s="79"/>
      <c r="D304" s="54"/>
      <c r="E304" s="54"/>
      <c r="F304" s="169"/>
      <c r="G304" s="56"/>
      <c r="H304" s="320"/>
      <c r="I304" s="57"/>
      <c r="J304" s="77"/>
      <c r="K304" s="77"/>
      <c r="L304" s="73"/>
      <c r="N304" s="12"/>
      <c r="O304" s="29"/>
      <c r="P304" s="203"/>
      <c r="Q304" s="13"/>
    </row>
    <row r="305" spans="1:17" ht="17.25">
      <c r="A305" s="7" t="s">
        <v>403</v>
      </c>
      <c r="B305" s="12"/>
      <c r="C305" s="443" t="s">
        <v>635</v>
      </c>
      <c r="D305" s="444"/>
      <c r="E305" s="318">
        <f>SUM(I306:I315)</f>
        <v>0</v>
      </c>
      <c r="F305" s="178"/>
      <c r="G305" s="179"/>
      <c r="H305" s="180"/>
      <c r="I305" s="191"/>
      <c r="J305" s="192"/>
      <c r="K305" s="192"/>
      <c r="L305" s="73"/>
      <c r="N305" s="12"/>
      <c r="O305" s="204"/>
      <c r="P305" s="205"/>
      <c r="Q305" s="13"/>
    </row>
    <row r="306" spans="1:17">
      <c r="B306" s="12"/>
      <c r="C306" s="79"/>
      <c r="D306" s="54"/>
      <c r="E306" s="54"/>
      <c r="F306" s="169"/>
      <c r="G306" s="56"/>
      <c r="H306" s="320"/>
      <c r="I306" s="57"/>
      <c r="J306" s="77"/>
      <c r="K306" s="77"/>
      <c r="L306" s="73"/>
      <c r="N306" s="12"/>
      <c r="O306" s="29"/>
      <c r="P306" s="203"/>
      <c r="Q306" s="13"/>
    </row>
    <row r="307" spans="1:17">
      <c r="B307" s="12"/>
      <c r="C307" s="53" t="s">
        <v>1386</v>
      </c>
      <c r="D307" s="54" t="s">
        <v>636</v>
      </c>
      <c r="E307" s="54"/>
      <c r="F307" s="169">
        <v>0</v>
      </c>
      <c r="G307" s="56" t="s">
        <v>229</v>
      </c>
      <c r="H307" s="320">
        <v>0</v>
      </c>
      <c r="I307" s="136">
        <f t="shared" ref="I307:I314" si="107">IF(ISNUMBER(F307), F307 * H307, 0)</f>
        <v>0</v>
      </c>
      <c r="J307" s="137">
        <f t="shared" ref="J307:J314" si="108">IF($J$8=0, 0, I307/$J$8)</f>
        <v>0</v>
      </c>
      <c r="K307" s="137">
        <f t="shared" ref="K307:K314" si="109">IF($K$8=0, 0, I307/$K$8)</f>
        <v>0</v>
      </c>
      <c r="L307" s="73"/>
      <c r="N307" s="12"/>
      <c r="O307" s="29"/>
      <c r="P307" s="203"/>
      <c r="Q307" s="13"/>
    </row>
    <row r="308" spans="1:17">
      <c r="B308" s="12"/>
      <c r="C308" s="53" t="s">
        <v>1387</v>
      </c>
      <c r="D308" s="81" t="s">
        <v>637</v>
      </c>
      <c r="E308" s="54"/>
      <c r="F308" s="169">
        <v>0</v>
      </c>
      <c r="G308" s="56" t="s">
        <v>229</v>
      </c>
      <c r="H308" s="320">
        <v>0</v>
      </c>
      <c r="I308" s="136">
        <f t="shared" si="107"/>
        <v>0</v>
      </c>
      <c r="J308" s="137">
        <f t="shared" si="108"/>
        <v>0</v>
      </c>
      <c r="K308" s="137">
        <f t="shared" si="109"/>
        <v>0</v>
      </c>
      <c r="L308" s="73"/>
      <c r="N308" s="12"/>
      <c r="O308" s="29"/>
      <c r="P308" s="203"/>
      <c r="Q308" s="13"/>
    </row>
    <row r="309" spans="1:17">
      <c r="B309" s="12"/>
      <c r="C309" s="53" t="s">
        <v>1388</v>
      </c>
      <c r="D309" s="81" t="s">
        <v>638</v>
      </c>
      <c r="E309" s="54"/>
      <c r="F309" s="169">
        <v>0</v>
      </c>
      <c r="G309" s="56" t="s">
        <v>229</v>
      </c>
      <c r="H309" s="320">
        <v>0</v>
      </c>
      <c r="I309" s="136">
        <f t="shared" si="107"/>
        <v>0</v>
      </c>
      <c r="J309" s="137">
        <f t="shared" si="108"/>
        <v>0</v>
      </c>
      <c r="K309" s="137">
        <f t="shared" si="109"/>
        <v>0</v>
      </c>
      <c r="L309" s="73"/>
      <c r="N309" s="12"/>
      <c r="O309" s="29"/>
      <c r="P309" s="203"/>
      <c r="Q309" s="13"/>
    </row>
    <row r="310" spans="1:17">
      <c r="B310" s="12"/>
      <c r="C310" s="53" t="s">
        <v>1389</v>
      </c>
      <c r="D310" s="81" t="s">
        <v>639</v>
      </c>
      <c r="E310" s="54"/>
      <c r="F310" s="169">
        <v>0</v>
      </c>
      <c r="G310" s="56" t="s">
        <v>229</v>
      </c>
      <c r="H310" s="320">
        <v>0</v>
      </c>
      <c r="I310" s="136">
        <f t="shared" si="107"/>
        <v>0</v>
      </c>
      <c r="J310" s="137">
        <f t="shared" si="108"/>
        <v>0</v>
      </c>
      <c r="K310" s="137">
        <f t="shared" si="109"/>
        <v>0</v>
      </c>
      <c r="L310" s="73"/>
      <c r="N310" s="12"/>
      <c r="O310" s="29"/>
      <c r="P310" s="203"/>
      <c r="Q310" s="13"/>
    </row>
    <row r="311" spans="1:17">
      <c r="B311" s="12"/>
      <c r="C311" s="53" t="s">
        <v>1390</v>
      </c>
      <c r="D311" s="81" t="s">
        <v>640</v>
      </c>
      <c r="E311" s="54"/>
      <c r="F311" s="169">
        <v>0</v>
      </c>
      <c r="G311" s="56" t="s">
        <v>229</v>
      </c>
      <c r="H311" s="320">
        <v>0</v>
      </c>
      <c r="I311" s="136">
        <f t="shared" si="107"/>
        <v>0</v>
      </c>
      <c r="J311" s="137">
        <f t="shared" si="108"/>
        <v>0</v>
      </c>
      <c r="K311" s="137">
        <f t="shared" si="109"/>
        <v>0</v>
      </c>
      <c r="L311" s="73"/>
      <c r="N311" s="12"/>
      <c r="O311" s="29"/>
      <c r="P311" s="203"/>
      <c r="Q311" s="13"/>
    </row>
    <row r="312" spans="1:17">
      <c r="B312" s="12"/>
      <c r="C312" s="53" t="s">
        <v>1391</v>
      </c>
      <c r="D312" s="81" t="s">
        <v>641</v>
      </c>
      <c r="E312" s="54"/>
      <c r="F312" s="169">
        <v>0</v>
      </c>
      <c r="G312" s="56" t="s">
        <v>229</v>
      </c>
      <c r="H312" s="320">
        <v>0</v>
      </c>
      <c r="I312" s="136">
        <f t="shared" si="107"/>
        <v>0</v>
      </c>
      <c r="J312" s="137">
        <f t="shared" si="108"/>
        <v>0</v>
      </c>
      <c r="K312" s="137">
        <f t="shared" si="109"/>
        <v>0</v>
      </c>
      <c r="L312" s="73"/>
      <c r="N312" s="12"/>
      <c r="O312" s="29"/>
      <c r="P312" s="203"/>
      <c r="Q312" s="13"/>
    </row>
    <row r="313" spans="1:17">
      <c r="B313" s="12"/>
      <c r="C313" s="53" t="s">
        <v>1392</v>
      </c>
      <c r="D313" s="81" t="s">
        <v>642</v>
      </c>
      <c r="E313" s="54"/>
      <c r="F313" s="169">
        <v>0</v>
      </c>
      <c r="G313" s="56" t="s">
        <v>229</v>
      </c>
      <c r="H313" s="320">
        <v>0</v>
      </c>
      <c r="I313" s="136">
        <f t="shared" si="107"/>
        <v>0</v>
      </c>
      <c r="J313" s="137">
        <f t="shared" si="108"/>
        <v>0</v>
      </c>
      <c r="K313" s="137">
        <f t="shared" si="109"/>
        <v>0</v>
      </c>
      <c r="L313" s="73"/>
      <c r="N313" s="12"/>
      <c r="O313" s="29"/>
      <c r="P313" s="203"/>
      <c r="Q313" s="13"/>
    </row>
    <row r="314" spans="1:17">
      <c r="B314" s="12"/>
      <c r="C314" s="53" t="s">
        <v>1393</v>
      </c>
      <c r="D314" s="81" t="s">
        <v>643</v>
      </c>
      <c r="E314" s="54"/>
      <c r="F314" s="169">
        <v>0</v>
      </c>
      <c r="G314" s="56" t="s">
        <v>229</v>
      </c>
      <c r="H314" s="320">
        <v>0</v>
      </c>
      <c r="I314" s="136">
        <f t="shared" si="107"/>
        <v>0</v>
      </c>
      <c r="J314" s="137">
        <f t="shared" si="108"/>
        <v>0</v>
      </c>
      <c r="K314" s="137">
        <f t="shared" si="109"/>
        <v>0</v>
      </c>
      <c r="L314" s="73"/>
      <c r="N314" s="12"/>
      <c r="O314" s="29"/>
      <c r="P314" s="203"/>
      <c r="Q314" s="13"/>
    </row>
    <row r="315" spans="1:17" ht="14.25" thickBot="1">
      <c r="B315" s="12"/>
      <c r="C315" s="79"/>
      <c r="D315" s="54"/>
      <c r="E315" s="54"/>
      <c r="F315" s="169"/>
      <c r="G315" s="56"/>
      <c r="H315" s="320"/>
      <c r="I315" s="57"/>
      <c r="J315" s="77"/>
      <c r="K315" s="77"/>
      <c r="L315" s="73"/>
      <c r="N315" s="12"/>
      <c r="O315" s="29"/>
      <c r="P315" s="203"/>
      <c r="Q315" s="13"/>
    </row>
    <row r="316" spans="1:17" ht="17.25">
      <c r="A316" s="7" t="s">
        <v>403</v>
      </c>
      <c r="B316" s="12"/>
      <c r="C316" s="443" t="s">
        <v>644</v>
      </c>
      <c r="D316" s="444" t="s">
        <v>645</v>
      </c>
      <c r="E316" s="318">
        <f>SUM(I317:I324)</f>
        <v>0</v>
      </c>
      <c r="F316" s="178"/>
      <c r="G316" s="179"/>
      <c r="H316" s="180"/>
      <c r="I316" s="191"/>
      <c r="J316" s="192"/>
      <c r="K316" s="192"/>
      <c r="L316" s="73"/>
      <c r="N316" s="12"/>
      <c r="O316" s="204"/>
      <c r="P316" s="205"/>
      <c r="Q316" s="13"/>
    </row>
    <row r="317" spans="1:17">
      <c r="B317" s="12"/>
      <c r="C317" s="79"/>
      <c r="D317" s="54"/>
      <c r="E317" s="54"/>
      <c r="F317" s="169"/>
      <c r="G317" s="56"/>
      <c r="H317" s="320"/>
      <c r="I317" s="57"/>
      <c r="J317" s="77"/>
      <c r="K317" s="77"/>
      <c r="L317" s="73"/>
      <c r="N317" s="12"/>
      <c r="O317" s="29"/>
      <c r="P317" s="203"/>
      <c r="Q317" s="13"/>
    </row>
    <row r="318" spans="1:17">
      <c r="B318" s="12"/>
      <c r="C318" s="53" t="s">
        <v>1394</v>
      </c>
      <c r="D318" s="54" t="s">
        <v>67</v>
      </c>
      <c r="E318" s="54"/>
      <c r="F318" s="169">
        <v>0</v>
      </c>
      <c r="G318" s="56" t="s">
        <v>229</v>
      </c>
      <c r="H318" s="320">
        <v>0</v>
      </c>
      <c r="I318" s="136">
        <f t="shared" ref="I318:I323" si="110">IF(ISNUMBER(F318), F318 * H318, 0)</f>
        <v>0</v>
      </c>
      <c r="J318" s="137">
        <f t="shared" ref="J318:J323" si="111">IF($J$8=0, 0, I318/$J$8)</f>
        <v>0</v>
      </c>
      <c r="K318" s="137">
        <f t="shared" ref="K318:K323" si="112">IF($K$8=0, 0, I318/$K$8)</f>
        <v>0</v>
      </c>
      <c r="L318" s="73"/>
      <c r="N318" s="12"/>
      <c r="O318" s="29"/>
      <c r="P318" s="203"/>
      <c r="Q318" s="13"/>
    </row>
    <row r="319" spans="1:17">
      <c r="B319" s="12"/>
      <c r="C319" s="53" t="s">
        <v>1395</v>
      </c>
      <c r="D319" s="84" t="s">
        <v>67</v>
      </c>
      <c r="E319" s="54"/>
      <c r="F319" s="169">
        <v>0</v>
      </c>
      <c r="G319" s="56" t="s">
        <v>229</v>
      </c>
      <c r="H319" s="320">
        <v>0</v>
      </c>
      <c r="I319" s="136">
        <f t="shared" si="110"/>
        <v>0</v>
      </c>
      <c r="J319" s="137">
        <f t="shared" si="111"/>
        <v>0</v>
      </c>
      <c r="K319" s="137">
        <f t="shared" si="112"/>
        <v>0</v>
      </c>
      <c r="L319" s="73"/>
      <c r="N319" s="12"/>
      <c r="O319" s="29"/>
      <c r="P319" s="203"/>
      <c r="Q319" s="13"/>
    </row>
    <row r="320" spans="1:17">
      <c r="B320" s="12"/>
      <c r="C320" s="53" t="s">
        <v>1396</v>
      </c>
      <c r="D320" s="84" t="s">
        <v>67</v>
      </c>
      <c r="E320" s="54"/>
      <c r="F320" s="169">
        <v>0</v>
      </c>
      <c r="G320" s="56" t="s">
        <v>229</v>
      </c>
      <c r="H320" s="320">
        <v>0</v>
      </c>
      <c r="I320" s="136">
        <f t="shared" si="110"/>
        <v>0</v>
      </c>
      <c r="J320" s="137">
        <f t="shared" si="111"/>
        <v>0</v>
      </c>
      <c r="K320" s="137">
        <f t="shared" si="112"/>
        <v>0</v>
      </c>
      <c r="L320" s="73"/>
      <c r="N320" s="12"/>
      <c r="O320" s="29"/>
      <c r="P320" s="203"/>
      <c r="Q320" s="13"/>
    </row>
    <row r="321" spans="1:17">
      <c r="B321" s="12"/>
      <c r="C321" s="53" t="s">
        <v>1397</v>
      </c>
      <c r="D321" s="84" t="s">
        <v>67</v>
      </c>
      <c r="E321" s="54"/>
      <c r="F321" s="169">
        <v>0</v>
      </c>
      <c r="G321" s="56" t="s">
        <v>229</v>
      </c>
      <c r="H321" s="320">
        <v>0</v>
      </c>
      <c r="I321" s="136">
        <f t="shared" si="110"/>
        <v>0</v>
      </c>
      <c r="J321" s="137">
        <f t="shared" si="111"/>
        <v>0</v>
      </c>
      <c r="K321" s="137">
        <f t="shared" si="112"/>
        <v>0</v>
      </c>
      <c r="L321" s="73"/>
      <c r="N321" s="12"/>
      <c r="O321" s="29"/>
      <c r="P321" s="203"/>
      <c r="Q321" s="13"/>
    </row>
    <row r="322" spans="1:17">
      <c r="B322" s="12"/>
      <c r="C322" s="53" t="s">
        <v>1398</v>
      </c>
      <c r="D322" s="84" t="s">
        <v>67</v>
      </c>
      <c r="E322" s="54"/>
      <c r="F322" s="169">
        <v>0</v>
      </c>
      <c r="G322" s="56" t="s">
        <v>229</v>
      </c>
      <c r="H322" s="320">
        <v>0</v>
      </c>
      <c r="I322" s="136">
        <f t="shared" si="110"/>
        <v>0</v>
      </c>
      <c r="J322" s="137">
        <f t="shared" si="111"/>
        <v>0</v>
      </c>
      <c r="K322" s="137">
        <f t="shared" si="112"/>
        <v>0</v>
      </c>
      <c r="L322" s="73"/>
      <c r="N322" s="12"/>
      <c r="O322" s="29"/>
      <c r="P322" s="203"/>
      <c r="Q322" s="13"/>
    </row>
    <row r="323" spans="1:17">
      <c r="B323" s="12"/>
      <c r="C323" s="53" t="s">
        <v>1399</v>
      </c>
      <c r="D323" s="84" t="s">
        <v>67</v>
      </c>
      <c r="E323" s="54"/>
      <c r="F323" s="169">
        <v>0</v>
      </c>
      <c r="G323" s="56" t="s">
        <v>229</v>
      </c>
      <c r="H323" s="320">
        <v>0</v>
      </c>
      <c r="I323" s="136">
        <f t="shared" si="110"/>
        <v>0</v>
      </c>
      <c r="J323" s="137">
        <f t="shared" si="111"/>
        <v>0</v>
      </c>
      <c r="K323" s="137">
        <f t="shared" si="112"/>
        <v>0</v>
      </c>
      <c r="L323" s="73"/>
      <c r="N323" s="12"/>
      <c r="O323" s="29"/>
      <c r="P323" s="203"/>
      <c r="Q323" s="13"/>
    </row>
    <row r="324" spans="1:17" ht="14.25" thickBot="1">
      <c r="B324" s="12"/>
      <c r="C324" s="79"/>
      <c r="D324" s="54"/>
      <c r="E324" s="54"/>
      <c r="F324" s="169"/>
      <c r="G324" s="56"/>
      <c r="H324" s="320"/>
      <c r="I324" s="57"/>
      <c r="J324" s="77"/>
      <c r="K324" s="77"/>
      <c r="L324" s="73"/>
      <c r="N324" s="12"/>
      <c r="O324" s="29"/>
      <c r="P324" s="203"/>
      <c r="Q324" s="13"/>
    </row>
    <row r="325" spans="1:17" ht="17.25">
      <c r="A325" s="7" t="s">
        <v>403</v>
      </c>
      <c r="B325" s="12"/>
      <c r="C325" s="443" t="s">
        <v>646</v>
      </c>
      <c r="D325" s="444" t="s">
        <v>645</v>
      </c>
      <c r="E325" s="318">
        <f>SUM(I326:I330)</f>
        <v>2742.5310400000003</v>
      </c>
      <c r="F325" s="178"/>
      <c r="G325" s="179"/>
      <c r="H325" s="180"/>
      <c r="I325" s="191"/>
      <c r="J325" s="192"/>
      <c r="K325" s="192"/>
      <c r="L325" s="73"/>
      <c r="N325" s="12"/>
      <c r="O325" s="204"/>
      <c r="P325" s="205"/>
      <c r="Q325" s="13"/>
    </row>
    <row r="326" spans="1:17">
      <c r="A326" s="7" t="s">
        <v>403</v>
      </c>
      <c r="B326" s="12"/>
      <c r="C326" s="79"/>
      <c r="D326" s="54"/>
      <c r="E326" s="54"/>
      <c r="F326" s="169"/>
      <c r="G326" s="56"/>
      <c r="H326" s="320"/>
      <c r="I326" s="57"/>
      <c r="J326" s="77"/>
      <c r="K326" s="77"/>
      <c r="L326" s="73"/>
      <c r="N326" s="12"/>
      <c r="O326" s="29"/>
      <c r="P326" s="203"/>
      <c r="Q326" s="13"/>
    </row>
    <row r="327" spans="1:17">
      <c r="A327" s="7" t="s">
        <v>403</v>
      </c>
      <c r="B327" s="12"/>
      <c r="C327" s="78" t="s">
        <v>1400</v>
      </c>
      <c r="D327" s="54" t="s">
        <v>647</v>
      </c>
      <c r="E327" s="56"/>
      <c r="F327" s="169">
        <v>1</v>
      </c>
      <c r="G327" s="56" t="s">
        <v>229</v>
      </c>
      <c r="H327" s="171">
        <f>'STEP 1 - PROJECT DATA'!F48</f>
        <v>2742.5310400000003</v>
      </c>
      <c r="I327" s="136">
        <f t="shared" ref="I327:I329" si="113">IF(ISNUMBER(F327), F327 * H327, 0)</f>
        <v>2742.5310400000003</v>
      </c>
      <c r="J327" s="137">
        <f t="shared" ref="J327:J329" si="114">IF($J$8=0, 0, I327/$J$8)</f>
        <v>27.425310400000004</v>
      </c>
      <c r="K327" s="137">
        <f t="shared" ref="K327:K329" si="115">IF($K$8=0, 0, I327/$K$8)</f>
        <v>274.25310400000001</v>
      </c>
      <c r="L327" s="73"/>
      <c r="N327" s="12"/>
      <c r="O327" s="29" t="s">
        <v>405</v>
      </c>
      <c r="P327" s="203">
        <f>I327</f>
        <v>2742.5310400000003</v>
      </c>
      <c r="Q327" s="13"/>
    </row>
    <row r="328" spans="1:17">
      <c r="B328" s="12"/>
      <c r="C328" s="78" t="s">
        <v>1401</v>
      </c>
      <c r="D328" s="84" t="s">
        <v>648</v>
      </c>
      <c r="E328" s="54"/>
      <c r="F328" s="169">
        <v>0</v>
      </c>
      <c r="G328" s="56" t="s">
        <v>229</v>
      </c>
      <c r="H328" s="320">
        <v>0</v>
      </c>
      <c r="I328" s="136">
        <f t="shared" si="113"/>
        <v>0</v>
      </c>
      <c r="J328" s="137">
        <f t="shared" si="114"/>
        <v>0</v>
      </c>
      <c r="K328" s="137">
        <f t="shared" si="115"/>
        <v>0</v>
      </c>
      <c r="L328" s="73"/>
      <c r="N328" s="12"/>
      <c r="O328" s="29"/>
      <c r="P328" s="203"/>
      <c r="Q328" s="13"/>
    </row>
    <row r="329" spans="1:17">
      <c r="B329" s="12"/>
      <c r="C329" s="78" t="s">
        <v>1402</v>
      </c>
      <c r="D329" s="84" t="s">
        <v>649</v>
      </c>
      <c r="E329" s="54"/>
      <c r="F329" s="169">
        <v>0</v>
      </c>
      <c r="G329" s="56" t="s">
        <v>229</v>
      </c>
      <c r="H329" s="320">
        <v>0</v>
      </c>
      <c r="I329" s="136">
        <f t="shared" si="113"/>
        <v>0</v>
      </c>
      <c r="J329" s="137">
        <f t="shared" si="114"/>
        <v>0</v>
      </c>
      <c r="K329" s="137">
        <f t="shared" si="115"/>
        <v>0</v>
      </c>
      <c r="L329" s="73"/>
      <c r="N329" s="12"/>
      <c r="O329" s="29"/>
      <c r="P329" s="203"/>
      <c r="Q329" s="13"/>
    </row>
    <row r="330" spans="1:17">
      <c r="A330" s="7" t="s">
        <v>403</v>
      </c>
      <c r="B330" s="12"/>
      <c r="C330" s="79"/>
      <c r="D330" s="54"/>
      <c r="E330" s="54"/>
      <c r="F330" s="169"/>
      <c r="G330" s="56"/>
      <c r="H330" s="320"/>
      <c r="I330" s="57"/>
      <c r="J330" s="77"/>
      <c r="K330" s="77"/>
      <c r="L330" s="73"/>
      <c r="N330" s="12"/>
      <c r="O330" s="29"/>
      <c r="P330" s="203"/>
      <c r="Q330" s="13"/>
    </row>
    <row r="331" spans="1:17" ht="18" thickBot="1">
      <c r="B331" s="12"/>
      <c r="C331" s="85"/>
      <c r="D331" s="86"/>
      <c r="E331" s="86"/>
      <c r="F331" s="87"/>
      <c r="G331" s="88"/>
      <c r="H331" s="63" t="s">
        <v>650</v>
      </c>
      <c r="I331" s="321">
        <f>SUM(I10:I330)</f>
        <v>110743.88127333333</v>
      </c>
      <c r="J331" s="322"/>
      <c r="K331" s="322"/>
      <c r="L331" s="73"/>
      <c r="M331" s="89"/>
      <c r="N331" s="90"/>
      <c r="O331" s="206"/>
      <c r="P331" s="207"/>
      <c r="Q331" s="13"/>
    </row>
    <row r="332" spans="1:17">
      <c r="B332" s="12"/>
      <c r="C332" s="79"/>
      <c r="D332" s="54"/>
      <c r="E332" s="54"/>
      <c r="F332" s="67"/>
      <c r="G332" s="56"/>
      <c r="H332" s="76"/>
      <c r="I332" s="57"/>
      <c r="J332" s="77"/>
      <c r="K332" s="77"/>
      <c r="L332" s="73"/>
      <c r="N332" s="12"/>
      <c r="O332" s="29"/>
      <c r="P332" s="203"/>
      <c r="Q332" s="13"/>
    </row>
    <row r="333" spans="1:17">
      <c r="B333" s="12"/>
      <c r="C333" s="53" t="s">
        <v>1403</v>
      </c>
      <c r="D333" s="80" t="s">
        <v>78</v>
      </c>
      <c r="E333" s="54"/>
      <c r="F333" s="309">
        <f>'STEP 1 - PROJECT DATA'!G18</f>
        <v>0</v>
      </c>
      <c r="G333" s="56"/>
      <c r="H333" s="76"/>
      <c r="I333" s="136">
        <f t="shared" ref="I333:I339" si="116">F333*$I$331</f>
        <v>0</v>
      </c>
      <c r="J333" s="137">
        <f t="shared" ref="J333:J339" si="117">IF($J$8=0, 0, I333/$J$8)</f>
        <v>0</v>
      </c>
      <c r="K333" s="137">
        <f t="shared" ref="K333:K335" si="118">IF($K$8=0, 0, I333/$K$8)</f>
        <v>0</v>
      </c>
      <c r="L333" s="73"/>
      <c r="N333" s="12"/>
      <c r="O333" s="29" t="s">
        <v>405</v>
      </c>
      <c r="P333" s="203">
        <f>I333</f>
        <v>0</v>
      </c>
      <c r="Q333" s="13"/>
    </row>
    <row r="334" spans="1:17">
      <c r="B334" s="12"/>
      <c r="C334" s="53" t="s">
        <v>1404</v>
      </c>
      <c r="D334" s="80" t="s">
        <v>79</v>
      </c>
      <c r="E334" s="54"/>
      <c r="F334" s="309">
        <f>'STEP 1 - PROJECT DATA'!G19</f>
        <v>0</v>
      </c>
      <c r="G334" s="56"/>
      <c r="H334" s="76"/>
      <c r="I334" s="136">
        <f t="shared" si="116"/>
        <v>0</v>
      </c>
      <c r="J334" s="137">
        <f t="shared" si="117"/>
        <v>0</v>
      </c>
      <c r="K334" s="137">
        <f t="shared" si="118"/>
        <v>0</v>
      </c>
      <c r="L334" s="73"/>
      <c r="N334" s="12"/>
      <c r="O334" s="29" t="s">
        <v>405</v>
      </c>
      <c r="P334" s="203">
        <f>I334</f>
        <v>0</v>
      </c>
      <c r="Q334" s="13"/>
    </row>
    <row r="335" spans="1:17">
      <c r="B335" s="12"/>
      <c r="C335" s="53" t="s">
        <v>1405</v>
      </c>
      <c r="D335" s="80" t="s">
        <v>80</v>
      </c>
      <c r="E335" s="54"/>
      <c r="F335" s="309">
        <f>'STEP 1 - PROJECT DATA'!G20</f>
        <v>0</v>
      </c>
      <c r="G335" s="56"/>
      <c r="H335" s="76"/>
      <c r="I335" s="136">
        <f t="shared" si="116"/>
        <v>0</v>
      </c>
      <c r="J335" s="137">
        <f t="shared" si="117"/>
        <v>0</v>
      </c>
      <c r="K335" s="137">
        <f t="shared" si="118"/>
        <v>0</v>
      </c>
      <c r="L335" s="73"/>
      <c r="N335" s="12"/>
      <c r="O335" s="29" t="s">
        <v>405</v>
      </c>
      <c r="P335" s="203">
        <f t="shared" ref="P335:P338" si="119">I335</f>
        <v>0</v>
      </c>
      <c r="Q335" s="13"/>
    </row>
    <row r="336" spans="1:17">
      <c r="B336" s="12"/>
      <c r="C336" s="53" t="s">
        <v>1406</v>
      </c>
      <c r="D336" s="80" t="s">
        <v>83</v>
      </c>
      <c r="E336" s="54"/>
      <c r="F336" s="309">
        <f>'STEP 1 - PROJECT DATA'!G21</f>
        <v>0</v>
      </c>
      <c r="G336" s="56"/>
      <c r="H336" s="76"/>
      <c r="I336" s="136">
        <f t="shared" si="116"/>
        <v>0</v>
      </c>
      <c r="J336" s="137">
        <f t="shared" si="117"/>
        <v>0</v>
      </c>
      <c r="K336" s="137">
        <f t="shared" ref="K336:K339" si="120">IF($K$8=0, 0, I336/$K$8)</f>
        <v>0</v>
      </c>
      <c r="L336" s="73"/>
      <c r="N336" s="12"/>
      <c r="O336" s="29" t="s">
        <v>405</v>
      </c>
      <c r="P336" s="203">
        <f t="shared" si="119"/>
        <v>0</v>
      </c>
      <c r="Q336" s="13"/>
    </row>
    <row r="337" spans="2:17">
      <c r="B337" s="12"/>
      <c r="C337" s="53" t="s">
        <v>1407</v>
      </c>
      <c r="D337" s="80" t="s">
        <v>85</v>
      </c>
      <c r="E337" s="54"/>
      <c r="F337" s="309">
        <f>'STEP 1 - PROJECT DATA'!G22</f>
        <v>0.01</v>
      </c>
      <c r="G337" s="56"/>
      <c r="H337" s="76"/>
      <c r="I337" s="136">
        <f t="shared" si="116"/>
        <v>1107.4388127333334</v>
      </c>
      <c r="J337" s="137">
        <f t="shared" si="117"/>
        <v>11.074388127333334</v>
      </c>
      <c r="K337" s="137">
        <f t="shared" si="120"/>
        <v>110.74388127333334</v>
      </c>
      <c r="L337" s="73"/>
      <c r="N337" s="12"/>
      <c r="O337" s="29" t="s">
        <v>405</v>
      </c>
      <c r="P337" s="203">
        <f t="shared" si="119"/>
        <v>1107.4388127333334</v>
      </c>
      <c r="Q337" s="13"/>
    </row>
    <row r="338" spans="2:17">
      <c r="B338" s="12"/>
      <c r="C338" s="53" t="s">
        <v>1408</v>
      </c>
      <c r="D338" s="80" t="s">
        <v>86</v>
      </c>
      <c r="E338" s="54"/>
      <c r="F338" s="309">
        <f>'STEP 1 - PROJECT DATA'!G23</f>
        <v>0</v>
      </c>
      <c r="G338" s="56"/>
      <c r="H338" s="76"/>
      <c r="I338" s="136">
        <f t="shared" si="116"/>
        <v>0</v>
      </c>
      <c r="J338" s="137">
        <f t="shared" si="117"/>
        <v>0</v>
      </c>
      <c r="K338" s="137">
        <f t="shared" si="120"/>
        <v>0</v>
      </c>
      <c r="L338" s="73"/>
      <c r="N338" s="12"/>
      <c r="O338" s="29" t="s">
        <v>405</v>
      </c>
      <c r="P338" s="203">
        <f t="shared" si="119"/>
        <v>0</v>
      </c>
      <c r="Q338" s="13"/>
    </row>
    <row r="339" spans="2:17">
      <c r="B339" s="12"/>
      <c r="C339" s="53" t="s">
        <v>1409</v>
      </c>
      <c r="D339" s="80" t="s">
        <v>87</v>
      </c>
      <c r="E339" s="54"/>
      <c r="F339" s="309">
        <f>'STEP 1 - PROJECT DATA'!G24</f>
        <v>0.05</v>
      </c>
      <c r="G339" s="56"/>
      <c r="H339" s="76"/>
      <c r="I339" s="136">
        <f t="shared" si="116"/>
        <v>5537.1940636666668</v>
      </c>
      <c r="J339" s="137">
        <f t="shared" si="117"/>
        <v>55.371940636666665</v>
      </c>
      <c r="K339" s="137">
        <f t="shared" si="120"/>
        <v>553.7194063666667</v>
      </c>
      <c r="L339" s="73"/>
      <c r="N339" s="12"/>
      <c r="O339" s="29" t="s">
        <v>651</v>
      </c>
      <c r="P339" s="203"/>
      <c r="Q339" s="13"/>
    </row>
    <row r="340" spans="2:17">
      <c r="B340" s="12"/>
      <c r="C340" s="79"/>
      <c r="D340" s="54"/>
      <c r="E340" s="54"/>
      <c r="F340" s="67"/>
      <c r="G340" s="56"/>
      <c r="H340" s="76"/>
      <c r="I340" s="57"/>
      <c r="J340" s="77"/>
      <c r="K340" s="77"/>
      <c r="L340" s="73"/>
      <c r="N340" s="12"/>
      <c r="O340" s="29"/>
      <c r="P340" s="203"/>
      <c r="Q340" s="13"/>
    </row>
    <row r="341" spans="2:17" ht="18" thickBot="1">
      <c r="B341" s="12"/>
      <c r="C341" s="91"/>
      <c r="D341" s="63"/>
      <c r="E341" s="63"/>
      <c r="F341" s="92"/>
      <c r="G341" s="93"/>
      <c r="H341" s="63" t="s">
        <v>652</v>
      </c>
      <c r="I341" s="140">
        <f>SUM(I331:I340)</f>
        <v>117388.51414973334</v>
      </c>
      <c r="J341" s="141">
        <f>IF($J$8=0, 0, I341/$J$8)</f>
        <v>1173.8851414973333</v>
      </c>
      <c r="K341" s="141">
        <f>IF($K$8=0, 0, I341/$K$8)</f>
        <v>11738.851414973335</v>
      </c>
      <c r="L341" s="73"/>
      <c r="N341" s="12"/>
      <c r="O341" s="94" t="s">
        <v>653</v>
      </c>
      <c r="P341" s="323">
        <f>SUM(P10:P340)</f>
        <v>111848.82008606667</v>
      </c>
      <c r="Q341" s="13"/>
    </row>
    <row r="342" spans="2:17" ht="14.25" thickBot="1">
      <c r="B342" s="38"/>
      <c r="C342" s="39"/>
      <c r="D342" s="39"/>
      <c r="E342" s="39"/>
      <c r="F342" s="39"/>
      <c r="G342" s="39"/>
      <c r="H342" s="39"/>
      <c r="I342" s="39"/>
      <c r="J342" s="39"/>
      <c r="K342" s="39"/>
      <c r="L342" s="40"/>
      <c r="N342" s="38"/>
      <c r="O342" s="39"/>
      <c r="P342" s="39"/>
      <c r="Q342" s="40"/>
    </row>
    <row r="343" spans="2:17" ht="14.25" thickBot="1"/>
    <row r="344" spans="2:17">
      <c r="N344" s="8"/>
      <c r="O344" s="9"/>
      <c r="P344" s="9"/>
      <c r="Q344" s="11"/>
    </row>
    <row r="345" spans="2:17" ht="14.25" thickBot="1">
      <c r="N345" s="12"/>
      <c r="Q345" s="13"/>
    </row>
    <row r="346" spans="2:17" ht="17.25" thickBot="1">
      <c r="D346" s="20" t="s">
        <v>654</v>
      </c>
      <c r="E346" s="324">
        <f>SUM(E10:E345)</f>
        <v>110743.88127333333</v>
      </c>
      <c r="N346" s="75"/>
      <c r="O346" s="441" t="s">
        <v>655</v>
      </c>
      <c r="P346" s="442"/>
      <c r="Q346" s="13"/>
    </row>
    <row r="347" spans="2:17" ht="16.5" thickBot="1">
      <c r="D347" s="20" t="s">
        <v>656</v>
      </c>
      <c r="E347" s="324">
        <f>SUM(I332:I340)</f>
        <v>6644.6328764</v>
      </c>
      <c r="N347" s="12"/>
      <c r="O347" s="355">
        <f>I341-P341</f>
        <v>5539.6940636666695</v>
      </c>
      <c r="P347" s="356">
        <f>O347/P341</f>
        <v>4.9528408609084335E-2</v>
      </c>
      <c r="Q347" s="13"/>
    </row>
    <row r="348" spans="2:17" ht="14.25" thickBot="1">
      <c r="D348" s="20" t="s">
        <v>178</v>
      </c>
      <c r="E348" s="324">
        <f>SUM(E346:E347)</f>
        <v>117388.51414973334</v>
      </c>
      <c r="N348" s="38"/>
      <c r="O348" s="39"/>
      <c r="P348" s="39"/>
      <c r="Q348" s="40"/>
    </row>
    <row r="349" spans="2:17">
      <c r="D349" s="20" t="s">
        <v>657</v>
      </c>
      <c r="E349" s="311" t="b">
        <f>E348=I341</f>
        <v>1</v>
      </c>
    </row>
  </sheetData>
  <sheetProtection formatCells="0" formatColumns="0" formatRows="0" insertColumns="0" insertRows="0" insertHyperlinks="0" deleteColumns="0" deleteRows="0" sort="0" autoFilter="0" pivotTables="0"/>
  <autoFilter ref="A9:K330" xr:uid="{F94F2FBB-52C0-47F7-910C-7057D436A2ED}"/>
  <mergeCells count="31">
    <mergeCell ref="C73:D73"/>
    <mergeCell ref="C63:D63"/>
    <mergeCell ref="C53:D53"/>
    <mergeCell ref="C26:D26"/>
    <mergeCell ref="C15:D15"/>
    <mergeCell ref="C10:D10"/>
    <mergeCell ref="E3:G3"/>
    <mergeCell ref="H3:I3"/>
    <mergeCell ref="H4:I4"/>
    <mergeCell ref="H5:I5"/>
    <mergeCell ref="C93:D93"/>
    <mergeCell ref="C131:D131"/>
    <mergeCell ref="C150:D150"/>
    <mergeCell ref="C165:D165"/>
    <mergeCell ref="C190:D190"/>
    <mergeCell ref="C200:D200"/>
    <mergeCell ref="C212:D212"/>
    <mergeCell ref="C220:D220"/>
    <mergeCell ref="C227:D227"/>
    <mergeCell ref="C232:D232"/>
    <mergeCell ref="C239:D239"/>
    <mergeCell ref="C243:D243"/>
    <mergeCell ref="C251:D251"/>
    <mergeCell ref="C256:D256"/>
    <mergeCell ref="C263:D263"/>
    <mergeCell ref="O346:P346"/>
    <mergeCell ref="C271:D271"/>
    <mergeCell ref="C292:D292"/>
    <mergeCell ref="C305:D305"/>
    <mergeCell ref="C316:D316"/>
    <mergeCell ref="C325:D325"/>
  </mergeCells>
  <phoneticPr fontId="21" type="noConversion"/>
  <conditionalFormatting sqref="E349">
    <cfRule type="cellIs" dxfId="7" priority="1" operator="equal">
      <formula>FALSE</formula>
    </cfRule>
    <cfRule type="cellIs" dxfId="6" priority="2" operator="equal">
      <formula>TRUE</formula>
    </cfRule>
  </conditionalFormatting>
  <conditionalFormatting sqref="S12:S13">
    <cfRule type="cellIs" dxfId="5" priority="5" operator="equal">
      <formula>FALSE</formula>
    </cfRule>
    <cfRule type="cellIs" dxfId="4" priority="6" operator="equal">
      <formula>TRUE</formula>
    </cfRule>
  </conditionalFormatting>
  <conditionalFormatting sqref="S17:S24">
    <cfRule type="cellIs" dxfId="3" priority="3" operator="equal">
      <formula>FALSE</formula>
    </cfRule>
    <cfRule type="cellIs" dxfId="2" priority="4" operator="equal">
      <formula>TRUE</formula>
    </cfRule>
  </conditionalFormatting>
  <pageMargins left="0.2" right="0.2" top="0.25" bottom="0.25" header="0.3" footer="0.3"/>
  <pageSetup scale="63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8F85D-66A5-4A8F-B5B6-A8274E7393C2}">
  <sheetPr codeName="Sheet16">
    <pageSetUpPr autoPageBreaks="0" fitToPage="1"/>
  </sheetPr>
  <dimension ref="B1:N167"/>
  <sheetViews>
    <sheetView showGridLines="0" zoomScaleNormal="100" workbookViewId="0">
      <pane ySplit="9" topLeftCell="A27" activePane="bottomLeft" state="frozen"/>
      <selection activeCell="D7" sqref="D7"/>
      <selection pane="bottomLeft" activeCell="D7" sqref="D7"/>
    </sheetView>
  </sheetViews>
  <sheetFormatPr defaultColWidth="11" defaultRowHeight="13.5"/>
  <cols>
    <col min="1" max="1" width="5.5703125" style="7" customWidth="1"/>
    <col min="2" max="2" width="1.85546875" style="7" customWidth="1"/>
    <col min="3" max="3" width="16.140625" style="7" customWidth="1"/>
    <col min="4" max="4" width="42.85546875" style="7" customWidth="1"/>
    <col min="5" max="5" width="24.42578125" style="7" customWidth="1"/>
    <col min="6" max="6" width="12.85546875" style="7" customWidth="1"/>
    <col min="7" max="7" width="25.5703125" style="7" bestFit="1" customWidth="1"/>
    <col min="8" max="8" width="25.28515625" style="7" customWidth="1"/>
    <col min="9" max="9" width="10.7109375" style="7" customWidth="1"/>
    <col min="10" max="10" width="15.7109375" style="7" customWidth="1"/>
    <col min="11" max="11" width="16.140625" style="7" bestFit="1" customWidth="1"/>
    <col min="12" max="12" width="63" style="7" customWidth="1"/>
    <col min="13" max="13" width="1.85546875" style="7" customWidth="1"/>
    <col min="14" max="14" width="2.85546875" style="7" customWidth="1"/>
    <col min="15" max="16384" width="11" style="7"/>
  </cols>
  <sheetData>
    <row r="1" spans="2:14" ht="8.4499999999999993" customHeight="1"/>
    <row r="2" spans="2:14" ht="17.25" thickBot="1">
      <c r="C2" s="133" t="str">
        <f>'STEP 1 - PROJECT DATA'!D6&amp; "." &amp; 'STEP 1 - PROJECT DATA'!D7</f>
        <v>E26-123.0</v>
      </c>
      <c r="D2" s="134"/>
      <c r="E2" s="20"/>
      <c r="F2" s="69"/>
      <c r="G2" s="69"/>
      <c r="H2" s="69"/>
      <c r="K2" s="68"/>
      <c r="L2" s="46"/>
    </row>
    <row r="3" spans="2:14" ht="18.75">
      <c r="B3" s="8"/>
      <c r="C3" s="135" t="str">
        <f>'STEP 1 - PROJECT DATA'!C5</f>
        <v>Project Name</v>
      </c>
      <c r="D3" s="125" t="str">
        <f>'STEP 1 - PROJECT DATA'!D5</f>
        <v>Name</v>
      </c>
      <c r="E3" s="478" t="s">
        <v>658</v>
      </c>
      <c r="F3" s="478"/>
      <c r="G3" s="478"/>
      <c r="H3" s="478"/>
      <c r="I3" s="9"/>
      <c r="J3" s="9"/>
      <c r="K3" s="70" t="s">
        <v>9</v>
      </c>
      <c r="L3" s="395">
        <f>'STEP 1 - PROJECT DATA'!G9</f>
        <v>46010</v>
      </c>
      <c r="M3" s="11"/>
    </row>
    <row r="4" spans="2:14" ht="16.5">
      <c r="B4" s="12"/>
      <c r="C4" s="121" t="s">
        <v>17</v>
      </c>
      <c r="D4" s="3" t="str">
        <f>'STEP 1 - PROJECT DATA'!D8</f>
        <v>1234 Main St</v>
      </c>
      <c r="K4" s="43" t="s">
        <v>659</v>
      </c>
      <c r="L4" s="46"/>
      <c r="M4" s="13"/>
    </row>
    <row r="5" spans="2:14" ht="16.5">
      <c r="B5" s="12"/>
      <c r="C5" s="121"/>
      <c r="D5" s="3" t="str">
        <f>'STEP 1 - PROJECT DATA'!D9</f>
        <v>Minneapolis, MN</v>
      </c>
      <c r="K5" s="95" t="s">
        <v>660</v>
      </c>
      <c r="L5" s="96" t="s">
        <v>661</v>
      </c>
      <c r="M5" s="72"/>
    </row>
    <row r="6" spans="2:14" ht="16.5">
      <c r="B6" s="12"/>
      <c r="C6" s="121" t="str">
        <f>'STEP 1 - PROJECT DATA'!C13</f>
        <v>Architect</v>
      </c>
      <c r="D6" s="3" t="str">
        <f>'STEP 1 - PROJECT DATA'!D13</f>
        <v>TBD</v>
      </c>
      <c r="K6" s="97" t="s">
        <v>662</v>
      </c>
      <c r="L6" s="98" t="s">
        <v>663</v>
      </c>
      <c r="M6" s="73"/>
    </row>
    <row r="7" spans="2:14" ht="16.5">
      <c r="B7" s="12"/>
      <c r="C7" s="121" t="str">
        <f>'STEP 1 - PROJECT DATA'!C14</f>
        <v>Plan Set</v>
      </c>
      <c r="D7" s="3" t="str">
        <f>'STEP 1 - PROJECT DATA'!D14</f>
        <v>TBD</v>
      </c>
      <c r="E7" s="44"/>
      <c r="K7" s="97" t="s">
        <v>664</v>
      </c>
      <c r="L7" s="98" t="s">
        <v>665</v>
      </c>
      <c r="M7" s="73"/>
    </row>
    <row r="8" spans="2:14" ht="15.75" thickBot="1">
      <c r="B8" s="12"/>
      <c r="C8" s="43"/>
      <c r="M8" s="73"/>
    </row>
    <row r="9" spans="2:14" ht="33" thickBot="1">
      <c r="B9" s="12"/>
      <c r="C9" s="175"/>
      <c r="D9" s="176" t="s">
        <v>91</v>
      </c>
      <c r="E9" s="176" t="s">
        <v>666</v>
      </c>
      <c r="F9" s="193" t="s">
        <v>667</v>
      </c>
      <c r="G9" s="193" t="s">
        <v>668</v>
      </c>
      <c r="H9" s="193" t="s">
        <v>669</v>
      </c>
      <c r="I9" s="176" t="s">
        <v>670</v>
      </c>
      <c r="J9" s="176" t="s">
        <v>671</v>
      </c>
      <c r="K9" s="176" t="s">
        <v>672</v>
      </c>
      <c r="L9" s="187" t="s">
        <v>673</v>
      </c>
      <c r="M9" s="73"/>
      <c r="N9" s="74"/>
    </row>
    <row r="10" spans="2:14" ht="17.25">
      <c r="B10" s="12"/>
      <c r="C10" s="443" t="s">
        <v>674</v>
      </c>
      <c r="D10" s="444" t="s">
        <v>217</v>
      </c>
      <c r="E10" s="190">
        <f>SUM(E11:E15)</f>
        <v>2700</v>
      </c>
      <c r="F10" s="178"/>
      <c r="G10" s="178"/>
      <c r="H10" s="178"/>
      <c r="I10" s="179"/>
      <c r="J10" s="180"/>
      <c r="K10" s="191"/>
      <c r="L10" s="192"/>
      <c r="M10" s="73"/>
    </row>
    <row r="11" spans="2:14" ht="16.5" customHeight="1">
      <c r="B11" s="12"/>
      <c r="C11" s="53">
        <v>1.1000000000000001</v>
      </c>
      <c r="D11" s="54" t="s">
        <v>675</v>
      </c>
      <c r="E11" s="76">
        <v>1500</v>
      </c>
      <c r="F11" s="67" t="s">
        <v>676</v>
      </c>
      <c r="G11" s="76">
        <f>$E$11</f>
        <v>1500</v>
      </c>
      <c r="H11" s="76"/>
      <c r="I11" s="76"/>
      <c r="J11" s="76"/>
      <c r="K11" s="67"/>
      <c r="L11" s="77" t="s">
        <v>677</v>
      </c>
      <c r="M11" s="73"/>
    </row>
    <row r="12" spans="2:14" ht="16.5" customHeight="1">
      <c r="B12" s="12"/>
      <c r="C12" s="53">
        <v>1.2</v>
      </c>
      <c r="D12" s="54">
        <v>2</v>
      </c>
      <c r="E12" s="76">
        <v>100</v>
      </c>
      <c r="F12" s="67"/>
      <c r="G12" s="76">
        <f>$E$12</f>
        <v>100</v>
      </c>
      <c r="H12" s="76"/>
      <c r="I12" s="76"/>
      <c r="J12" s="76"/>
      <c r="K12" s="67"/>
      <c r="L12" s="77"/>
      <c r="M12" s="73"/>
    </row>
    <row r="13" spans="2:14" ht="16.5" customHeight="1">
      <c r="B13" s="12"/>
      <c r="C13" s="53">
        <v>1.3</v>
      </c>
      <c r="D13" s="54">
        <v>3</v>
      </c>
      <c r="E13" s="76">
        <v>500</v>
      </c>
      <c r="F13" s="67"/>
      <c r="G13" s="76">
        <f>$E$13</f>
        <v>500</v>
      </c>
      <c r="H13" s="76"/>
      <c r="I13" s="76"/>
      <c r="J13" s="76"/>
      <c r="K13" s="67"/>
      <c r="L13" s="77"/>
      <c r="M13" s="73"/>
    </row>
    <row r="14" spans="2:14" ht="16.5" customHeight="1">
      <c r="B14" s="12"/>
      <c r="C14" s="53">
        <v>1.4</v>
      </c>
      <c r="D14" s="54">
        <v>4</v>
      </c>
      <c r="E14" s="76">
        <v>600</v>
      </c>
      <c r="F14" s="67"/>
      <c r="G14" s="76">
        <f>$E$14</f>
        <v>600</v>
      </c>
      <c r="H14" s="76"/>
      <c r="I14" s="76"/>
      <c r="J14" s="76"/>
      <c r="K14" s="67"/>
      <c r="L14" s="77"/>
      <c r="M14" s="73"/>
    </row>
    <row r="15" spans="2:14" ht="16.5" customHeight="1" thickBot="1">
      <c r="B15" s="12"/>
      <c r="C15" s="53">
        <v>1.5</v>
      </c>
      <c r="D15" s="54"/>
      <c r="E15" s="76">
        <v>0</v>
      </c>
      <c r="F15" s="67"/>
      <c r="G15" s="76"/>
      <c r="H15" s="76"/>
      <c r="I15" s="76">
        <f>$E$15</f>
        <v>0</v>
      </c>
      <c r="J15" s="76"/>
      <c r="K15" s="67"/>
      <c r="L15" s="77"/>
      <c r="M15" s="73"/>
    </row>
    <row r="16" spans="2:14" ht="17.25">
      <c r="B16" s="12"/>
      <c r="C16" s="443" t="s">
        <v>678</v>
      </c>
      <c r="D16" s="444" t="s">
        <v>217</v>
      </c>
      <c r="E16" s="190"/>
      <c r="F16" s="178"/>
      <c r="G16" s="178"/>
      <c r="H16" s="178"/>
      <c r="I16" s="179"/>
      <c r="J16" s="180"/>
      <c r="K16" s="191"/>
      <c r="L16" s="192"/>
      <c r="M16" s="73"/>
    </row>
    <row r="17" spans="2:13" ht="16.5" customHeight="1">
      <c r="B17" s="12"/>
      <c r="C17" s="53">
        <f>C11+1</f>
        <v>2.1</v>
      </c>
      <c r="D17" s="54"/>
      <c r="E17" s="76">
        <v>0</v>
      </c>
      <c r="F17" s="67"/>
      <c r="G17" s="76"/>
      <c r="H17" s="76"/>
      <c r="I17" s="76"/>
      <c r="J17" s="76"/>
      <c r="K17" s="67"/>
      <c r="L17" s="77"/>
      <c r="M17" s="73"/>
    </row>
    <row r="18" spans="2:13" ht="16.5" customHeight="1">
      <c r="B18" s="12"/>
      <c r="C18" s="53">
        <f>C17+0.1</f>
        <v>2.2000000000000002</v>
      </c>
      <c r="D18" s="54"/>
      <c r="E18" s="76">
        <v>0</v>
      </c>
      <c r="F18" s="67"/>
      <c r="G18" s="76"/>
      <c r="H18" s="76"/>
      <c r="I18" s="76"/>
      <c r="J18" s="76"/>
      <c r="K18" s="67"/>
      <c r="L18" s="77"/>
      <c r="M18" s="73"/>
    </row>
    <row r="19" spans="2:13" ht="16.5" customHeight="1">
      <c r="B19" s="12"/>
      <c r="C19" s="53">
        <f t="shared" ref="C19:C21" si="0">C18+0.1</f>
        <v>2.3000000000000003</v>
      </c>
      <c r="D19" s="54"/>
      <c r="E19" s="76">
        <v>0</v>
      </c>
      <c r="F19" s="67"/>
      <c r="G19" s="76"/>
      <c r="H19" s="76"/>
      <c r="I19" s="76"/>
      <c r="J19" s="76"/>
      <c r="K19" s="67"/>
      <c r="L19" s="77"/>
      <c r="M19" s="73"/>
    </row>
    <row r="20" spans="2:13" ht="16.5" customHeight="1">
      <c r="B20" s="12"/>
      <c r="C20" s="53">
        <f t="shared" si="0"/>
        <v>2.4000000000000004</v>
      </c>
      <c r="D20" s="54"/>
      <c r="E20" s="76">
        <v>0</v>
      </c>
      <c r="F20" s="67"/>
      <c r="G20" s="76"/>
      <c r="H20" s="76"/>
      <c r="I20" s="76"/>
      <c r="J20" s="76"/>
      <c r="K20" s="67"/>
      <c r="L20" s="77"/>
      <c r="M20" s="73"/>
    </row>
    <row r="21" spans="2:13" ht="16.5" customHeight="1" thickBot="1">
      <c r="B21" s="12"/>
      <c r="C21" s="53">
        <f t="shared" si="0"/>
        <v>2.5000000000000004</v>
      </c>
      <c r="D21" s="54"/>
      <c r="E21" s="76">
        <v>0</v>
      </c>
      <c r="F21" s="67"/>
      <c r="G21" s="76"/>
      <c r="H21" s="76"/>
      <c r="I21" s="76"/>
      <c r="J21" s="76"/>
      <c r="K21" s="67"/>
      <c r="L21" s="77"/>
      <c r="M21" s="73"/>
    </row>
    <row r="22" spans="2:13" ht="18" customHeight="1">
      <c r="B22" s="12"/>
      <c r="C22" s="443" t="s">
        <v>679</v>
      </c>
      <c r="D22" s="444" t="s">
        <v>217</v>
      </c>
      <c r="E22" s="190"/>
      <c r="F22" s="178"/>
      <c r="G22" s="178"/>
      <c r="H22" s="178"/>
      <c r="I22" s="179"/>
      <c r="J22" s="180"/>
      <c r="K22" s="191"/>
      <c r="L22" s="192"/>
      <c r="M22" s="73"/>
    </row>
    <row r="23" spans="2:13">
      <c r="B23" s="12"/>
      <c r="C23" s="53">
        <f>C17+1</f>
        <v>3.1</v>
      </c>
      <c r="D23" s="54"/>
      <c r="E23" s="76">
        <v>0</v>
      </c>
      <c r="F23" s="67"/>
      <c r="G23" s="76"/>
      <c r="H23" s="76"/>
      <c r="I23" s="76"/>
      <c r="J23" s="76"/>
      <c r="K23" s="67"/>
      <c r="L23" s="77"/>
      <c r="M23" s="73"/>
    </row>
    <row r="24" spans="2:13">
      <c r="B24" s="12"/>
      <c r="C24" s="53">
        <f>C23+0.1</f>
        <v>3.2</v>
      </c>
      <c r="D24" s="54"/>
      <c r="E24" s="76">
        <v>0</v>
      </c>
      <c r="F24" s="67"/>
      <c r="G24" s="76"/>
      <c r="H24" s="76"/>
      <c r="I24" s="76"/>
      <c r="J24" s="76"/>
      <c r="K24" s="67"/>
      <c r="L24" s="77"/>
      <c r="M24" s="73"/>
    </row>
    <row r="25" spans="2:13">
      <c r="B25" s="12"/>
      <c r="C25" s="53">
        <f t="shared" ref="C25:C27" si="1">C24+0.1</f>
        <v>3.3000000000000003</v>
      </c>
      <c r="D25" s="54"/>
      <c r="E25" s="76">
        <v>0</v>
      </c>
      <c r="F25" s="67"/>
      <c r="G25" s="76"/>
      <c r="H25" s="76"/>
      <c r="I25" s="76"/>
      <c r="J25" s="76"/>
      <c r="K25" s="67"/>
      <c r="L25" s="77"/>
      <c r="M25" s="73"/>
    </row>
    <row r="26" spans="2:13">
      <c r="B26" s="12"/>
      <c r="C26" s="53">
        <f t="shared" si="1"/>
        <v>3.4000000000000004</v>
      </c>
      <c r="D26" s="54"/>
      <c r="E26" s="76">
        <v>0</v>
      </c>
      <c r="F26" s="67"/>
      <c r="G26" s="76"/>
      <c r="H26" s="76"/>
      <c r="I26" s="76"/>
      <c r="J26" s="76"/>
      <c r="K26" s="67"/>
      <c r="L26" s="77"/>
      <c r="M26" s="73"/>
    </row>
    <row r="27" spans="2:13" ht="14.25" thickBot="1">
      <c r="B27" s="12"/>
      <c r="C27" s="53">
        <f t="shared" si="1"/>
        <v>3.5000000000000004</v>
      </c>
      <c r="D27" s="54"/>
      <c r="E27" s="76">
        <v>0</v>
      </c>
      <c r="F27" s="67"/>
      <c r="G27" s="76"/>
      <c r="H27" s="76"/>
      <c r="I27" s="76"/>
      <c r="J27" s="76"/>
      <c r="K27" s="67"/>
      <c r="L27" s="77"/>
      <c r="M27" s="73"/>
    </row>
    <row r="28" spans="2:13" ht="18" customHeight="1">
      <c r="B28" s="12"/>
      <c r="C28" s="443" t="s">
        <v>680</v>
      </c>
      <c r="D28" s="444" t="s">
        <v>217</v>
      </c>
      <c r="E28" s="190"/>
      <c r="F28" s="178"/>
      <c r="G28" s="178"/>
      <c r="H28" s="178"/>
      <c r="I28" s="179"/>
      <c r="J28" s="180"/>
      <c r="K28" s="191"/>
      <c r="L28" s="192"/>
      <c r="M28" s="73"/>
    </row>
    <row r="29" spans="2:13">
      <c r="B29" s="12"/>
      <c r="C29" s="53">
        <f>C23+1</f>
        <v>4.0999999999999996</v>
      </c>
      <c r="D29" s="54"/>
      <c r="E29" s="76">
        <v>0</v>
      </c>
      <c r="F29" s="67"/>
      <c r="G29" s="76"/>
      <c r="H29" s="76"/>
      <c r="I29" s="76"/>
      <c r="J29" s="76"/>
      <c r="K29" s="67"/>
      <c r="L29" s="77"/>
      <c r="M29" s="73"/>
    </row>
    <row r="30" spans="2:13">
      <c r="B30" s="12"/>
      <c r="C30" s="53">
        <f>C29+0.1</f>
        <v>4.1999999999999993</v>
      </c>
      <c r="D30" s="54"/>
      <c r="E30" s="76">
        <v>0</v>
      </c>
      <c r="F30" s="67"/>
      <c r="G30" s="76"/>
      <c r="H30" s="76"/>
      <c r="I30" s="76"/>
      <c r="J30" s="76"/>
      <c r="K30" s="67"/>
      <c r="L30" s="77"/>
      <c r="M30" s="73"/>
    </row>
    <row r="31" spans="2:13">
      <c r="B31" s="12"/>
      <c r="C31" s="53">
        <f t="shared" ref="C31:C33" si="2">C30+0.1</f>
        <v>4.2999999999999989</v>
      </c>
      <c r="D31" s="54"/>
      <c r="E31" s="76">
        <v>0</v>
      </c>
      <c r="F31" s="67"/>
      <c r="G31" s="76"/>
      <c r="H31" s="76"/>
      <c r="I31" s="76"/>
      <c r="J31" s="76"/>
      <c r="K31" s="67"/>
      <c r="L31" s="77"/>
      <c r="M31" s="73"/>
    </row>
    <row r="32" spans="2:13">
      <c r="B32" s="12"/>
      <c r="C32" s="53">
        <f t="shared" si="2"/>
        <v>4.3999999999999986</v>
      </c>
      <c r="D32" s="54"/>
      <c r="E32" s="76">
        <v>0</v>
      </c>
      <c r="F32" s="67"/>
      <c r="G32" s="76"/>
      <c r="H32" s="76"/>
      <c r="I32" s="76"/>
      <c r="J32" s="76"/>
      <c r="K32" s="67"/>
      <c r="L32" s="77"/>
      <c r="M32" s="73"/>
    </row>
    <row r="33" spans="2:13" ht="14.25" thickBot="1">
      <c r="B33" s="12"/>
      <c r="C33" s="53">
        <f t="shared" si="2"/>
        <v>4.4999999999999982</v>
      </c>
      <c r="D33" s="54"/>
      <c r="E33" s="76">
        <v>0</v>
      </c>
      <c r="F33" s="67"/>
      <c r="G33" s="76"/>
      <c r="H33" s="76"/>
      <c r="I33" s="76"/>
      <c r="J33" s="76"/>
      <c r="K33" s="67"/>
      <c r="L33" s="77"/>
      <c r="M33" s="73"/>
    </row>
    <row r="34" spans="2:13" ht="18" customHeight="1">
      <c r="B34" s="12"/>
      <c r="C34" s="443" t="s">
        <v>439</v>
      </c>
      <c r="D34" s="444" t="s">
        <v>440</v>
      </c>
      <c r="E34" s="190"/>
      <c r="F34" s="178"/>
      <c r="G34" s="178"/>
      <c r="H34" s="178"/>
      <c r="I34" s="179"/>
      <c r="J34" s="180"/>
      <c r="K34" s="191"/>
      <c r="L34" s="192"/>
      <c r="M34" s="73"/>
    </row>
    <row r="35" spans="2:13">
      <c r="B35" s="12"/>
      <c r="C35" s="53">
        <f>C29+1</f>
        <v>5.0999999999999996</v>
      </c>
      <c r="D35" s="54"/>
      <c r="E35" s="76">
        <v>0</v>
      </c>
      <c r="F35" s="67"/>
      <c r="G35" s="76"/>
      <c r="H35" s="76"/>
      <c r="I35" s="76"/>
      <c r="J35" s="76"/>
      <c r="K35" s="67"/>
      <c r="L35" s="77"/>
      <c r="M35" s="73"/>
    </row>
    <row r="36" spans="2:13">
      <c r="B36" s="12"/>
      <c r="C36" s="53">
        <f>C35+0.1</f>
        <v>5.1999999999999993</v>
      </c>
      <c r="D36" s="54"/>
      <c r="E36" s="76">
        <v>0</v>
      </c>
      <c r="F36" s="67"/>
      <c r="G36" s="76"/>
      <c r="H36" s="76"/>
      <c r="I36" s="76"/>
      <c r="J36" s="76"/>
      <c r="K36" s="67"/>
      <c r="L36" s="77"/>
      <c r="M36" s="73"/>
    </row>
    <row r="37" spans="2:13">
      <c r="B37" s="12"/>
      <c r="C37" s="53">
        <f t="shared" ref="C37:C39" si="3">C36+0.1</f>
        <v>5.2999999999999989</v>
      </c>
      <c r="D37" s="54"/>
      <c r="E37" s="76">
        <v>0</v>
      </c>
      <c r="F37" s="67"/>
      <c r="G37" s="76"/>
      <c r="H37" s="76"/>
      <c r="I37" s="76"/>
      <c r="J37" s="76"/>
      <c r="K37" s="67"/>
      <c r="L37" s="77"/>
      <c r="M37" s="73"/>
    </row>
    <row r="38" spans="2:13">
      <c r="B38" s="12"/>
      <c r="C38" s="53">
        <f t="shared" si="3"/>
        <v>5.3999999999999986</v>
      </c>
      <c r="D38" s="54"/>
      <c r="E38" s="76">
        <v>0</v>
      </c>
      <c r="F38" s="67"/>
      <c r="G38" s="76"/>
      <c r="H38" s="76"/>
      <c r="I38" s="76"/>
      <c r="J38" s="76"/>
      <c r="K38" s="67"/>
      <c r="L38" s="77"/>
      <c r="M38" s="73"/>
    </row>
    <row r="39" spans="2:13" ht="14.25" thickBot="1">
      <c r="B39" s="12"/>
      <c r="C39" s="53">
        <f t="shared" si="3"/>
        <v>5.4999999999999982</v>
      </c>
      <c r="D39" s="54"/>
      <c r="E39" s="76">
        <v>0</v>
      </c>
      <c r="F39" s="67"/>
      <c r="G39" s="76"/>
      <c r="H39" s="76"/>
      <c r="I39" s="76"/>
      <c r="J39" s="76"/>
      <c r="K39" s="67"/>
      <c r="L39" s="77"/>
      <c r="M39" s="73"/>
    </row>
    <row r="40" spans="2:13" ht="18" customHeight="1">
      <c r="B40" s="12"/>
      <c r="C40" s="443" t="s">
        <v>681</v>
      </c>
      <c r="D40" s="444"/>
      <c r="E40" s="190"/>
      <c r="F40" s="178"/>
      <c r="G40" s="178"/>
      <c r="H40" s="178"/>
      <c r="I40" s="179"/>
      <c r="J40" s="180"/>
      <c r="K40" s="191"/>
      <c r="L40" s="192"/>
      <c r="M40" s="73"/>
    </row>
    <row r="41" spans="2:13">
      <c r="B41" s="12"/>
      <c r="C41" s="53">
        <f>C35+1</f>
        <v>6.1</v>
      </c>
      <c r="D41" s="54"/>
      <c r="E41" s="76">
        <v>0</v>
      </c>
      <c r="F41" s="67"/>
      <c r="G41" s="76"/>
      <c r="H41" s="76"/>
      <c r="I41" s="76"/>
      <c r="J41" s="76"/>
      <c r="K41" s="67"/>
      <c r="L41" s="77"/>
      <c r="M41" s="73"/>
    </row>
    <row r="42" spans="2:13">
      <c r="B42" s="12"/>
      <c r="C42" s="53">
        <f>C41+0.1</f>
        <v>6.1999999999999993</v>
      </c>
      <c r="D42" s="54"/>
      <c r="E42" s="76">
        <v>0</v>
      </c>
      <c r="F42" s="67"/>
      <c r="G42" s="76"/>
      <c r="H42" s="76"/>
      <c r="I42" s="76"/>
      <c r="J42" s="76"/>
      <c r="K42" s="67"/>
      <c r="L42" s="77"/>
      <c r="M42" s="73"/>
    </row>
    <row r="43" spans="2:13">
      <c r="B43" s="12"/>
      <c r="C43" s="53">
        <f t="shared" ref="C43:C45" si="4">C42+0.1</f>
        <v>6.2999999999999989</v>
      </c>
      <c r="D43" s="54"/>
      <c r="E43" s="76">
        <v>0</v>
      </c>
      <c r="F43" s="67"/>
      <c r="G43" s="76"/>
      <c r="H43" s="76"/>
      <c r="I43" s="76"/>
      <c r="J43" s="76"/>
      <c r="K43" s="67"/>
      <c r="L43" s="77"/>
      <c r="M43" s="73"/>
    </row>
    <row r="44" spans="2:13">
      <c r="B44" s="12"/>
      <c r="C44" s="53">
        <f t="shared" si="4"/>
        <v>6.3999999999999986</v>
      </c>
      <c r="D44" s="54"/>
      <c r="E44" s="76">
        <v>0</v>
      </c>
      <c r="F44" s="67"/>
      <c r="G44" s="76"/>
      <c r="H44" s="76"/>
      <c r="I44" s="76"/>
      <c r="J44" s="76"/>
      <c r="K44" s="67"/>
      <c r="L44" s="77"/>
      <c r="M44" s="73"/>
    </row>
    <row r="45" spans="2:13" ht="14.25" thickBot="1">
      <c r="B45" s="12"/>
      <c r="C45" s="53">
        <f t="shared" si="4"/>
        <v>6.4999999999999982</v>
      </c>
      <c r="D45" s="54"/>
      <c r="E45" s="76">
        <v>0</v>
      </c>
      <c r="F45" s="67"/>
      <c r="G45" s="76"/>
      <c r="H45" s="76"/>
      <c r="I45" s="76"/>
      <c r="J45" s="76"/>
      <c r="K45" s="67"/>
      <c r="L45" s="77"/>
      <c r="M45" s="73"/>
    </row>
    <row r="46" spans="2:13" ht="18" customHeight="1">
      <c r="B46" s="12"/>
      <c r="C46" s="443" t="s">
        <v>682</v>
      </c>
      <c r="D46" s="444"/>
      <c r="E46" s="190"/>
      <c r="F46" s="178"/>
      <c r="G46" s="178"/>
      <c r="H46" s="178"/>
      <c r="I46" s="179"/>
      <c r="J46" s="180"/>
      <c r="K46" s="191"/>
      <c r="L46" s="192"/>
      <c r="M46" s="73"/>
    </row>
    <row r="47" spans="2:13">
      <c r="B47" s="12"/>
      <c r="C47" s="53">
        <f>C41+1</f>
        <v>7.1</v>
      </c>
      <c r="D47" s="54"/>
      <c r="E47" s="76">
        <v>0</v>
      </c>
      <c r="F47" s="67"/>
      <c r="G47" s="76"/>
      <c r="H47" s="76"/>
      <c r="I47" s="76"/>
      <c r="J47" s="76"/>
      <c r="K47" s="67"/>
      <c r="L47" s="77"/>
      <c r="M47" s="73"/>
    </row>
    <row r="48" spans="2:13">
      <c r="B48" s="12"/>
      <c r="C48" s="53">
        <f>C47+0.1</f>
        <v>7.1999999999999993</v>
      </c>
      <c r="D48" s="54"/>
      <c r="E48" s="76">
        <v>0</v>
      </c>
      <c r="F48" s="67"/>
      <c r="G48" s="76"/>
      <c r="H48" s="76"/>
      <c r="I48" s="76"/>
      <c r="J48" s="76"/>
      <c r="K48" s="67"/>
      <c r="L48" s="77"/>
      <c r="M48" s="73"/>
    </row>
    <row r="49" spans="2:13">
      <c r="B49" s="12"/>
      <c r="C49" s="53">
        <f t="shared" ref="C49:C51" si="5">C48+0.1</f>
        <v>7.2999999999999989</v>
      </c>
      <c r="D49" s="54"/>
      <c r="E49" s="76">
        <v>0</v>
      </c>
      <c r="F49" s="67"/>
      <c r="G49" s="76"/>
      <c r="H49" s="76"/>
      <c r="I49" s="76"/>
      <c r="J49" s="76"/>
      <c r="K49" s="67"/>
      <c r="L49" s="77"/>
      <c r="M49" s="73"/>
    </row>
    <row r="50" spans="2:13">
      <c r="B50" s="12"/>
      <c r="C50" s="53">
        <f t="shared" si="5"/>
        <v>7.3999999999999986</v>
      </c>
      <c r="D50" s="54"/>
      <c r="E50" s="76">
        <v>0</v>
      </c>
      <c r="F50" s="67"/>
      <c r="G50" s="76"/>
      <c r="H50" s="76"/>
      <c r="I50" s="76"/>
      <c r="J50" s="76"/>
      <c r="K50" s="67"/>
      <c r="L50" s="77"/>
      <c r="M50" s="73"/>
    </row>
    <row r="51" spans="2:13" ht="14.25" thickBot="1">
      <c r="B51" s="12"/>
      <c r="C51" s="53">
        <f t="shared" si="5"/>
        <v>7.4999999999999982</v>
      </c>
      <c r="D51" s="54"/>
      <c r="E51" s="76">
        <v>0</v>
      </c>
      <c r="F51" s="67"/>
      <c r="G51" s="76"/>
      <c r="H51" s="76"/>
      <c r="I51" s="76"/>
      <c r="J51" s="76"/>
      <c r="K51" s="67"/>
      <c r="L51" s="77"/>
      <c r="M51" s="73"/>
    </row>
    <row r="52" spans="2:13" ht="18" customHeight="1">
      <c r="B52" s="12"/>
      <c r="C52" s="443" t="s">
        <v>489</v>
      </c>
      <c r="D52" s="444" t="s">
        <v>414</v>
      </c>
      <c r="E52" s="190"/>
      <c r="F52" s="178"/>
      <c r="G52" s="178"/>
      <c r="H52" s="178"/>
      <c r="I52" s="179"/>
      <c r="J52" s="180"/>
      <c r="K52" s="191"/>
      <c r="L52" s="192"/>
      <c r="M52" s="73"/>
    </row>
    <row r="53" spans="2:13">
      <c r="B53" s="12"/>
      <c r="C53" s="53">
        <f>C47+1</f>
        <v>8.1</v>
      </c>
      <c r="D53" s="54"/>
      <c r="E53" s="76">
        <v>0</v>
      </c>
      <c r="F53" s="67"/>
      <c r="G53" s="76"/>
      <c r="H53" s="76"/>
      <c r="I53" s="76"/>
      <c r="J53" s="76"/>
      <c r="K53" s="67"/>
      <c r="L53" s="77"/>
      <c r="M53" s="73"/>
    </row>
    <row r="54" spans="2:13">
      <c r="B54" s="12"/>
      <c r="C54" s="53">
        <f>C53+0.1</f>
        <v>8.1999999999999993</v>
      </c>
      <c r="D54" s="54"/>
      <c r="E54" s="76">
        <v>0</v>
      </c>
      <c r="F54" s="67"/>
      <c r="G54" s="76"/>
      <c r="H54" s="76"/>
      <c r="I54" s="76"/>
      <c r="J54" s="76"/>
      <c r="K54" s="67"/>
      <c r="L54" s="77"/>
      <c r="M54" s="73"/>
    </row>
    <row r="55" spans="2:13">
      <c r="B55" s="12"/>
      <c r="C55" s="53">
        <f t="shared" ref="C55:C57" si="6">C54+0.1</f>
        <v>8.2999999999999989</v>
      </c>
      <c r="D55" s="54"/>
      <c r="E55" s="76">
        <v>0</v>
      </c>
      <c r="F55" s="67"/>
      <c r="G55" s="76"/>
      <c r="H55" s="76"/>
      <c r="I55" s="76"/>
      <c r="J55" s="76"/>
      <c r="K55" s="67"/>
      <c r="L55" s="77"/>
      <c r="M55" s="73"/>
    </row>
    <row r="56" spans="2:13">
      <c r="B56" s="12"/>
      <c r="C56" s="53">
        <f t="shared" si="6"/>
        <v>8.3999999999999986</v>
      </c>
      <c r="D56" s="54"/>
      <c r="E56" s="76">
        <v>0</v>
      </c>
      <c r="F56" s="67"/>
      <c r="G56" s="76"/>
      <c r="H56" s="76"/>
      <c r="I56" s="76"/>
      <c r="J56" s="76"/>
      <c r="K56" s="67"/>
      <c r="L56" s="77"/>
      <c r="M56" s="73"/>
    </row>
    <row r="57" spans="2:13" ht="14.25" thickBot="1">
      <c r="B57" s="12"/>
      <c r="C57" s="53">
        <f t="shared" si="6"/>
        <v>8.4999999999999982</v>
      </c>
      <c r="D57" s="54"/>
      <c r="E57" s="76">
        <v>0</v>
      </c>
      <c r="F57" s="67"/>
      <c r="G57" s="76"/>
      <c r="H57" s="76"/>
      <c r="I57" s="76"/>
      <c r="J57" s="76"/>
      <c r="K57" s="67"/>
      <c r="L57" s="77"/>
      <c r="M57" s="73"/>
    </row>
    <row r="58" spans="2:13" ht="18" customHeight="1">
      <c r="B58" s="12"/>
      <c r="C58" s="443" t="s">
        <v>505</v>
      </c>
      <c r="D58" s="444" t="s">
        <v>506</v>
      </c>
      <c r="E58" s="190"/>
      <c r="F58" s="178"/>
      <c r="G58" s="178"/>
      <c r="H58" s="178"/>
      <c r="I58" s="179"/>
      <c r="J58" s="180"/>
      <c r="K58" s="191"/>
      <c r="L58" s="192"/>
      <c r="M58" s="73"/>
    </row>
    <row r="59" spans="2:13">
      <c r="B59" s="12"/>
      <c r="C59" s="53">
        <f>C53+1</f>
        <v>9.1</v>
      </c>
      <c r="D59" s="54"/>
      <c r="E59" s="76">
        <v>0</v>
      </c>
      <c r="F59" s="67"/>
      <c r="G59" s="76"/>
      <c r="H59" s="76"/>
      <c r="I59" s="76"/>
      <c r="J59" s="76"/>
      <c r="K59" s="67"/>
      <c r="L59" s="77"/>
      <c r="M59" s="73"/>
    </row>
    <row r="60" spans="2:13">
      <c r="B60" s="12"/>
      <c r="C60" s="53">
        <f>C59+0.1</f>
        <v>9.1999999999999993</v>
      </c>
      <c r="D60" s="54"/>
      <c r="E60" s="76">
        <v>0</v>
      </c>
      <c r="F60" s="67"/>
      <c r="G60" s="76"/>
      <c r="H60" s="76"/>
      <c r="I60" s="76"/>
      <c r="J60" s="76"/>
      <c r="K60" s="67"/>
      <c r="L60" s="77"/>
      <c r="M60" s="73"/>
    </row>
    <row r="61" spans="2:13">
      <c r="B61" s="12"/>
      <c r="C61" s="53">
        <f t="shared" ref="C61:C63" si="7">C60+0.1</f>
        <v>9.2999999999999989</v>
      </c>
      <c r="D61" s="54"/>
      <c r="E61" s="76">
        <v>0</v>
      </c>
      <c r="F61" s="67"/>
      <c r="G61" s="76"/>
      <c r="H61" s="76"/>
      <c r="I61" s="76"/>
      <c r="J61" s="76"/>
      <c r="K61" s="67"/>
      <c r="L61" s="77"/>
      <c r="M61" s="73"/>
    </row>
    <row r="62" spans="2:13">
      <c r="B62" s="12"/>
      <c r="C62" s="53">
        <f t="shared" si="7"/>
        <v>9.3999999999999986</v>
      </c>
      <c r="D62" s="54"/>
      <c r="E62" s="76">
        <v>0</v>
      </c>
      <c r="F62" s="67"/>
      <c r="G62" s="76"/>
      <c r="H62" s="76"/>
      <c r="I62" s="76"/>
      <c r="J62" s="76"/>
      <c r="K62" s="67"/>
      <c r="L62" s="77"/>
      <c r="M62" s="73"/>
    </row>
    <row r="63" spans="2:13" ht="14.25" thickBot="1">
      <c r="B63" s="12"/>
      <c r="C63" s="53">
        <f t="shared" si="7"/>
        <v>9.4999999999999982</v>
      </c>
      <c r="D63" s="54"/>
      <c r="E63" s="76">
        <v>0</v>
      </c>
      <c r="F63" s="67"/>
      <c r="G63" s="76"/>
      <c r="H63" s="76"/>
      <c r="I63" s="76"/>
      <c r="J63" s="76"/>
      <c r="K63" s="67"/>
      <c r="L63" s="77"/>
      <c r="M63" s="73"/>
    </row>
    <row r="64" spans="2:13" ht="18" customHeight="1">
      <c r="B64" s="12"/>
      <c r="C64" s="443" t="s">
        <v>520</v>
      </c>
      <c r="D64" s="444" t="s">
        <v>506</v>
      </c>
      <c r="E64" s="190"/>
      <c r="F64" s="178"/>
      <c r="G64" s="178"/>
      <c r="H64" s="178"/>
      <c r="I64" s="179"/>
      <c r="J64" s="180"/>
      <c r="K64" s="191"/>
      <c r="L64" s="192"/>
      <c r="M64" s="73"/>
    </row>
    <row r="65" spans="2:13">
      <c r="B65" s="12"/>
      <c r="C65" s="53">
        <f>C59+1</f>
        <v>10.1</v>
      </c>
      <c r="D65" s="54"/>
      <c r="E65" s="76">
        <v>0</v>
      </c>
      <c r="F65" s="67"/>
      <c r="G65" s="76"/>
      <c r="H65" s="76"/>
      <c r="I65" s="76"/>
      <c r="J65" s="76"/>
      <c r="K65" s="67"/>
      <c r="L65" s="77"/>
      <c r="M65" s="73"/>
    </row>
    <row r="66" spans="2:13">
      <c r="B66" s="12"/>
      <c r="C66" s="53">
        <f>C65+0.1</f>
        <v>10.199999999999999</v>
      </c>
      <c r="D66" s="54"/>
      <c r="E66" s="76">
        <v>0</v>
      </c>
      <c r="F66" s="67"/>
      <c r="G66" s="76"/>
      <c r="H66" s="76"/>
      <c r="I66" s="76"/>
      <c r="J66" s="76"/>
      <c r="K66" s="67"/>
      <c r="L66" s="77"/>
      <c r="M66" s="73"/>
    </row>
    <row r="67" spans="2:13">
      <c r="B67" s="12"/>
      <c r="C67" s="53">
        <f t="shared" ref="C67:C69" si="8">C66+0.1</f>
        <v>10.299999999999999</v>
      </c>
      <c r="D67" s="54"/>
      <c r="E67" s="76">
        <v>0</v>
      </c>
      <c r="F67" s="67"/>
      <c r="G67" s="76"/>
      <c r="H67" s="76"/>
      <c r="I67" s="76"/>
      <c r="J67" s="76"/>
      <c r="K67" s="67"/>
      <c r="L67" s="77"/>
      <c r="M67" s="73"/>
    </row>
    <row r="68" spans="2:13">
      <c r="B68" s="12"/>
      <c r="C68" s="53">
        <f t="shared" si="8"/>
        <v>10.399999999999999</v>
      </c>
      <c r="D68" s="54"/>
      <c r="E68" s="76">
        <v>0</v>
      </c>
      <c r="F68" s="67"/>
      <c r="G68" s="76"/>
      <c r="H68" s="76"/>
      <c r="I68" s="76"/>
      <c r="J68" s="76"/>
      <c r="K68" s="67"/>
      <c r="L68" s="77"/>
      <c r="M68" s="73"/>
    </row>
    <row r="69" spans="2:13" ht="14.25" thickBot="1">
      <c r="B69" s="12"/>
      <c r="C69" s="53">
        <f t="shared" si="8"/>
        <v>10.499999999999998</v>
      </c>
      <c r="D69" s="54"/>
      <c r="E69" s="76">
        <v>0</v>
      </c>
      <c r="F69" s="67"/>
      <c r="G69" s="76"/>
      <c r="H69" s="76"/>
      <c r="I69" s="76"/>
      <c r="J69" s="76"/>
      <c r="K69" s="67"/>
      <c r="L69" s="77"/>
      <c r="M69" s="73"/>
    </row>
    <row r="70" spans="2:13" ht="18" customHeight="1">
      <c r="B70" s="12"/>
      <c r="C70" s="443" t="s">
        <v>543</v>
      </c>
      <c r="D70" s="444" t="s">
        <v>506</v>
      </c>
      <c r="E70" s="190"/>
      <c r="F70" s="178"/>
      <c r="G70" s="178"/>
      <c r="H70" s="178"/>
      <c r="I70" s="179"/>
      <c r="J70" s="180"/>
      <c r="K70" s="191"/>
      <c r="L70" s="192"/>
      <c r="M70" s="73"/>
    </row>
    <row r="71" spans="2:13">
      <c r="B71" s="12"/>
      <c r="C71" s="53">
        <f>C65+1</f>
        <v>11.1</v>
      </c>
      <c r="D71" s="54"/>
      <c r="E71" s="76">
        <v>0</v>
      </c>
      <c r="F71" s="67"/>
      <c r="G71" s="76"/>
      <c r="H71" s="76"/>
      <c r="I71" s="76"/>
      <c r="J71" s="76"/>
      <c r="K71" s="67"/>
      <c r="L71" s="77"/>
      <c r="M71" s="73"/>
    </row>
    <row r="72" spans="2:13">
      <c r="B72" s="12"/>
      <c r="C72" s="53">
        <f>C71+0.1</f>
        <v>11.2</v>
      </c>
      <c r="D72" s="54"/>
      <c r="E72" s="76">
        <v>0</v>
      </c>
      <c r="F72" s="67"/>
      <c r="G72" s="76"/>
      <c r="H72" s="76"/>
      <c r="I72" s="76"/>
      <c r="J72" s="76"/>
      <c r="K72" s="67"/>
      <c r="L72" s="77"/>
      <c r="M72" s="73"/>
    </row>
    <row r="73" spans="2:13">
      <c r="B73" s="12"/>
      <c r="C73" s="53">
        <f t="shared" ref="C73:C75" si="9">C72+0.1</f>
        <v>11.299999999999999</v>
      </c>
      <c r="D73" s="54"/>
      <c r="E73" s="76">
        <v>0</v>
      </c>
      <c r="F73" s="67"/>
      <c r="G73" s="76"/>
      <c r="H73" s="76"/>
      <c r="I73" s="76"/>
      <c r="J73" s="76"/>
      <c r="K73" s="67"/>
      <c r="L73" s="77"/>
      <c r="M73" s="73"/>
    </row>
    <row r="74" spans="2:13">
      <c r="B74" s="12"/>
      <c r="C74" s="53">
        <f t="shared" si="9"/>
        <v>11.399999999999999</v>
      </c>
      <c r="D74" s="54"/>
      <c r="E74" s="76">
        <v>0</v>
      </c>
      <c r="F74" s="67"/>
      <c r="G74" s="76"/>
      <c r="H74" s="76"/>
      <c r="I74" s="76"/>
      <c r="J74" s="76"/>
      <c r="K74" s="67"/>
      <c r="L74" s="77"/>
      <c r="M74" s="73"/>
    </row>
    <row r="75" spans="2:13" ht="14.25" thickBot="1">
      <c r="B75" s="12"/>
      <c r="C75" s="53">
        <f t="shared" si="9"/>
        <v>11.499999999999998</v>
      </c>
      <c r="D75" s="54"/>
      <c r="E75" s="76">
        <v>0</v>
      </c>
      <c r="F75" s="67"/>
      <c r="G75" s="76"/>
      <c r="H75" s="76"/>
      <c r="I75" s="76"/>
      <c r="J75" s="76"/>
      <c r="K75" s="67"/>
      <c r="L75" s="77"/>
      <c r="M75" s="73"/>
    </row>
    <row r="76" spans="2:13" ht="18" customHeight="1">
      <c r="B76" s="12"/>
      <c r="C76" s="443" t="s">
        <v>551</v>
      </c>
      <c r="D76" s="444" t="s">
        <v>506</v>
      </c>
      <c r="E76" s="190"/>
      <c r="F76" s="178"/>
      <c r="G76" s="178"/>
      <c r="H76" s="178"/>
      <c r="I76" s="179"/>
      <c r="J76" s="180"/>
      <c r="K76" s="191"/>
      <c r="L76" s="192"/>
      <c r="M76" s="73"/>
    </row>
    <row r="77" spans="2:13">
      <c r="B77" s="12"/>
      <c r="C77" s="53">
        <f>C71+1</f>
        <v>12.1</v>
      </c>
      <c r="D77" s="54"/>
      <c r="E77" s="76">
        <v>0</v>
      </c>
      <c r="F77" s="67"/>
      <c r="G77" s="76"/>
      <c r="H77" s="76"/>
      <c r="I77" s="76"/>
      <c r="J77" s="76"/>
      <c r="K77" s="67"/>
      <c r="L77" s="77"/>
      <c r="M77" s="73"/>
    </row>
    <row r="78" spans="2:13">
      <c r="B78" s="12"/>
      <c r="C78" s="53">
        <f>C77+0.1</f>
        <v>12.2</v>
      </c>
      <c r="D78" s="54"/>
      <c r="E78" s="76">
        <v>0</v>
      </c>
      <c r="F78" s="67"/>
      <c r="G78" s="76"/>
      <c r="H78" s="76"/>
      <c r="I78" s="76"/>
      <c r="J78" s="76"/>
      <c r="K78" s="67"/>
      <c r="L78" s="77"/>
      <c r="M78" s="73"/>
    </row>
    <row r="79" spans="2:13">
      <c r="B79" s="12"/>
      <c r="C79" s="53">
        <f t="shared" ref="C79:C81" si="10">C78+0.1</f>
        <v>12.299999999999999</v>
      </c>
      <c r="D79" s="54"/>
      <c r="E79" s="76">
        <v>0</v>
      </c>
      <c r="F79" s="67"/>
      <c r="G79" s="76"/>
      <c r="H79" s="76"/>
      <c r="I79" s="76"/>
      <c r="J79" s="76"/>
      <c r="K79" s="67"/>
      <c r="L79" s="77"/>
      <c r="M79" s="73"/>
    </row>
    <row r="80" spans="2:13">
      <c r="B80" s="12"/>
      <c r="C80" s="53">
        <f t="shared" si="10"/>
        <v>12.399999999999999</v>
      </c>
      <c r="D80" s="54"/>
      <c r="E80" s="76">
        <v>0</v>
      </c>
      <c r="F80" s="67"/>
      <c r="G80" s="76"/>
      <c r="H80" s="76"/>
      <c r="I80" s="76"/>
      <c r="J80" s="76"/>
      <c r="K80" s="67"/>
      <c r="L80" s="77"/>
      <c r="M80" s="73"/>
    </row>
    <row r="81" spans="2:13" ht="14.25" thickBot="1">
      <c r="B81" s="12"/>
      <c r="C81" s="53">
        <f t="shared" si="10"/>
        <v>12.499999999999998</v>
      </c>
      <c r="D81" s="54"/>
      <c r="E81" s="76">
        <v>0</v>
      </c>
      <c r="F81" s="67"/>
      <c r="G81" s="76"/>
      <c r="H81" s="76"/>
      <c r="I81" s="76"/>
      <c r="J81" s="76"/>
      <c r="K81" s="67"/>
      <c r="L81" s="77"/>
      <c r="M81" s="73"/>
    </row>
    <row r="82" spans="2:13" ht="18" customHeight="1">
      <c r="B82" s="12"/>
      <c r="C82" s="443" t="s">
        <v>561</v>
      </c>
      <c r="D82" s="444"/>
      <c r="E82" s="190"/>
      <c r="F82" s="178"/>
      <c r="G82" s="178"/>
      <c r="H82" s="178"/>
      <c r="I82" s="179"/>
      <c r="J82" s="180"/>
      <c r="K82" s="191"/>
      <c r="L82" s="192"/>
      <c r="M82" s="73"/>
    </row>
    <row r="83" spans="2:13">
      <c r="B83" s="12"/>
      <c r="C83" s="53">
        <f>C77+1</f>
        <v>13.1</v>
      </c>
      <c r="D83" s="54"/>
      <c r="E83" s="76">
        <v>0</v>
      </c>
      <c r="F83" s="67"/>
      <c r="G83" s="76"/>
      <c r="H83" s="76"/>
      <c r="I83" s="76"/>
      <c r="J83" s="76"/>
      <c r="K83" s="67"/>
      <c r="L83" s="77"/>
      <c r="M83" s="73"/>
    </row>
    <row r="84" spans="2:13">
      <c r="B84" s="12"/>
      <c r="C84" s="53">
        <f>C83+0.1</f>
        <v>13.2</v>
      </c>
      <c r="D84" s="54"/>
      <c r="E84" s="76">
        <v>0</v>
      </c>
      <c r="F84" s="67"/>
      <c r="G84" s="76"/>
      <c r="H84" s="76"/>
      <c r="I84" s="76"/>
      <c r="J84" s="76"/>
      <c r="K84" s="67"/>
      <c r="L84" s="77"/>
      <c r="M84" s="73"/>
    </row>
    <row r="85" spans="2:13">
      <c r="B85" s="12"/>
      <c r="C85" s="53">
        <f t="shared" ref="C85:C87" si="11">C84+0.1</f>
        <v>13.299999999999999</v>
      </c>
      <c r="D85" s="54"/>
      <c r="E85" s="76">
        <v>0</v>
      </c>
      <c r="F85" s="67"/>
      <c r="G85" s="76"/>
      <c r="H85" s="76"/>
      <c r="I85" s="76"/>
      <c r="J85" s="76"/>
      <c r="K85" s="67"/>
      <c r="L85" s="77"/>
      <c r="M85" s="73"/>
    </row>
    <row r="86" spans="2:13">
      <c r="B86" s="12"/>
      <c r="C86" s="53">
        <f t="shared" si="11"/>
        <v>13.399999999999999</v>
      </c>
      <c r="D86" s="54"/>
      <c r="E86" s="76">
        <v>0</v>
      </c>
      <c r="F86" s="67"/>
      <c r="G86" s="76"/>
      <c r="H86" s="76"/>
      <c r="I86" s="76"/>
      <c r="J86" s="76"/>
      <c r="K86" s="67"/>
      <c r="L86" s="77"/>
      <c r="M86" s="73"/>
    </row>
    <row r="87" spans="2:13" ht="14.25" thickBot="1">
      <c r="B87" s="12"/>
      <c r="C87" s="53">
        <f t="shared" si="11"/>
        <v>13.499999999999998</v>
      </c>
      <c r="D87" s="54"/>
      <c r="E87" s="76">
        <v>0</v>
      </c>
      <c r="F87" s="67"/>
      <c r="G87" s="76"/>
      <c r="H87" s="76"/>
      <c r="I87" s="76"/>
      <c r="J87" s="76"/>
      <c r="K87" s="67"/>
      <c r="L87" s="77"/>
      <c r="M87" s="73"/>
    </row>
    <row r="88" spans="2:13" ht="18" customHeight="1">
      <c r="B88" s="12"/>
      <c r="C88" s="443" t="s">
        <v>567</v>
      </c>
      <c r="D88" s="444"/>
      <c r="E88" s="190"/>
      <c r="F88" s="178"/>
      <c r="G88" s="178"/>
      <c r="H88" s="178"/>
      <c r="I88" s="179"/>
      <c r="J88" s="180"/>
      <c r="K88" s="191"/>
      <c r="L88" s="192"/>
      <c r="M88" s="73"/>
    </row>
    <row r="89" spans="2:13">
      <c r="B89" s="12"/>
      <c r="C89" s="53">
        <f>C83+1</f>
        <v>14.1</v>
      </c>
      <c r="D89" s="54"/>
      <c r="E89" s="76">
        <v>0</v>
      </c>
      <c r="F89" s="67"/>
      <c r="G89" s="76"/>
      <c r="H89" s="76"/>
      <c r="I89" s="76"/>
      <c r="J89" s="76"/>
      <c r="K89" s="67"/>
      <c r="L89" s="77"/>
      <c r="M89" s="73"/>
    </row>
    <row r="90" spans="2:13">
      <c r="B90" s="12"/>
      <c r="C90" s="53">
        <f>C89+0.1</f>
        <v>14.2</v>
      </c>
      <c r="D90" s="54"/>
      <c r="E90" s="76">
        <v>0</v>
      </c>
      <c r="F90" s="67"/>
      <c r="G90" s="76"/>
      <c r="H90" s="76"/>
      <c r="I90" s="76"/>
      <c r="J90" s="76"/>
      <c r="K90" s="67"/>
      <c r="L90" s="77"/>
      <c r="M90" s="73"/>
    </row>
    <row r="91" spans="2:13">
      <c r="B91" s="12"/>
      <c r="C91" s="53">
        <f t="shared" ref="C91:C93" si="12">C90+0.1</f>
        <v>14.299999999999999</v>
      </c>
      <c r="D91" s="54"/>
      <c r="E91" s="76">
        <v>0</v>
      </c>
      <c r="F91" s="67"/>
      <c r="G91" s="76"/>
      <c r="H91" s="76"/>
      <c r="I91" s="76"/>
      <c r="J91" s="76"/>
      <c r="K91" s="67"/>
      <c r="L91" s="77"/>
      <c r="M91" s="73"/>
    </row>
    <row r="92" spans="2:13">
      <c r="B92" s="12"/>
      <c r="C92" s="53">
        <f t="shared" si="12"/>
        <v>14.399999999999999</v>
      </c>
      <c r="D92" s="54"/>
      <c r="E92" s="76">
        <v>0</v>
      </c>
      <c r="F92" s="67"/>
      <c r="G92" s="76"/>
      <c r="H92" s="76"/>
      <c r="I92" s="76"/>
      <c r="J92" s="76"/>
      <c r="K92" s="67"/>
      <c r="L92" s="77"/>
      <c r="M92" s="73"/>
    </row>
    <row r="93" spans="2:13" ht="14.25" thickBot="1">
      <c r="B93" s="12"/>
      <c r="C93" s="53">
        <f t="shared" si="12"/>
        <v>14.499999999999998</v>
      </c>
      <c r="D93" s="54"/>
      <c r="E93" s="76">
        <v>0</v>
      </c>
      <c r="F93" s="67"/>
      <c r="G93" s="76"/>
      <c r="H93" s="76"/>
      <c r="I93" s="76"/>
      <c r="J93" s="76"/>
      <c r="K93" s="67"/>
      <c r="L93" s="77"/>
      <c r="M93" s="73"/>
    </row>
    <row r="94" spans="2:13" ht="18" customHeight="1">
      <c r="B94" s="12"/>
      <c r="C94" s="443" t="s">
        <v>574</v>
      </c>
      <c r="D94" s="444"/>
      <c r="E94" s="190"/>
      <c r="F94" s="178"/>
      <c r="G94" s="178"/>
      <c r="H94" s="178"/>
      <c r="I94" s="179"/>
      <c r="J94" s="180"/>
      <c r="K94" s="191"/>
      <c r="L94" s="192"/>
      <c r="M94" s="73"/>
    </row>
    <row r="95" spans="2:13">
      <c r="B95" s="12"/>
      <c r="C95" s="53">
        <v>21.1</v>
      </c>
      <c r="D95" s="54"/>
      <c r="E95" s="76">
        <v>0</v>
      </c>
      <c r="F95" s="67"/>
      <c r="G95" s="76"/>
      <c r="H95" s="76"/>
      <c r="I95" s="76"/>
      <c r="J95" s="76"/>
      <c r="K95" s="67"/>
      <c r="L95" s="77"/>
      <c r="M95" s="73"/>
    </row>
    <row r="96" spans="2:13">
      <c r="B96" s="12"/>
      <c r="C96" s="53">
        <f>C95+0.1</f>
        <v>21.200000000000003</v>
      </c>
      <c r="D96" s="54"/>
      <c r="E96" s="76">
        <v>0</v>
      </c>
      <c r="F96" s="67"/>
      <c r="G96" s="76"/>
      <c r="H96" s="76"/>
      <c r="I96" s="76"/>
      <c r="J96" s="76"/>
      <c r="K96" s="67"/>
      <c r="L96" s="77"/>
      <c r="M96" s="73"/>
    </row>
    <row r="97" spans="2:13">
      <c r="B97" s="12"/>
      <c r="C97" s="53">
        <f t="shared" ref="C97:C99" si="13">C96+0.1</f>
        <v>21.300000000000004</v>
      </c>
      <c r="D97" s="54"/>
      <c r="E97" s="76">
        <v>0</v>
      </c>
      <c r="F97" s="67"/>
      <c r="G97" s="76"/>
      <c r="H97" s="76"/>
      <c r="I97" s="76"/>
      <c r="J97" s="76"/>
      <c r="K97" s="67"/>
      <c r="L97" s="77"/>
      <c r="M97" s="73"/>
    </row>
    <row r="98" spans="2:13">
      <c r="B98" s="12"/>
      <c r="C98" s="53">
        <f t="shared" si="13"/>
        <v>21.400000000000006</v>
      </c>
      <c r="D98" s="54"/>
      <c r="E98" s="76">
        <v>0</v>
      </c>
      <c r="F98" s="67"/>
      <c r="G98" s="76"/>
      <c r="H98" s="76"/>
      <c r="I98" s="76"/>
      <c r="J98" s="76"/>
      <c r="K98" s="67"/>
      <c r="L98" s="77"/>
      <c r="M98" s="73"/>
    </row>
    <row r="99" spans="2:13" ht="14.25" thickBot="1">
      <c r="B99" s="12"/>
      <c r="C99" s="53">
        <f t="shared" si="13"/>
        <v>21.500000000000007</v>
      </c>
      <c r="D99" s="54"/>
      <c r="E99" s="76">
        <v>0</v>
      </c>
      <c r="F99" s="67"/>
      <c r="G99" s="76"/>
      <c r="H99" s="76"/>
      <c r="I99" s="76"/>
      <c r="J99" s="76"/>
      <c r="K99" s="67"/>
      <c r="L99" s="77"/>
      <c r="M99" s="73"/>
    </row>
    <row r="100" spans="2:13" ht="18" customHeight="1">
      <c r="B100" s="12"/>
      <c r="C100" s="443" t="s">
        <v>577</v>
      </c>
      <c r="D100" s="444"/>
      <c r="E100" s="190"/>
      <c r="F100" s="178"/>
      <c r="G100" s="178"/>
      <c r="H100" s="178"/>
      <c r="I100" s="179"/>
      <c r="J100" s="180"/>
      <c r="K100" s="191"/>
      <c r="L100" s="192"/>
      <c r="M100" s="73"/>
    </row>
    <row r="101" spans="2:13">
      <c r="B101" s="12"/>
      <c r="C101" s="53">
        <v>22.1</v>
      </c>
      <c r="D101" s="54"/>
      <c r="E101" s="76">
        <v>0</v>
      </c>
      <c r="F101" s="67"/>
      <c r="G101" s="76"/>
      <c r="H101" s="76"/>
      <c r="I101" s="76"/>
      <c r="J101" s="76"/>
      <c r="K101" s="67"/>
      <c r="L101" s="77"/>
      <c r="M101" s="73"/>
    </row>
    <row r="102" spans="2:13">
      <c r="B102" s="12"/>
      <c r="C102" s="53">
        <f>C101+0.1</f>
        <v>22.200000000000003</v>
      </c>
      <c r="D102" s="54"/>
      <c r="E102" s="76">
        <v>0</v>
      </c>
      <c r="F102" s="67"/>
      <c r="G102" s="76"/>
      <c r="H102" s="76"/>
      <c r="I102" s="76"/>
      <c r="J102" s="76"/>
      <c r="K102" s="67"/>
      <c r="L102" s="77"/>
      <c r="M102" s="73"/>
    </row>
    <row r="103" spans="2:13">
      <c r="B103" s="12"/>
      <c r="C103" s="53">
        <f t="shared" ref="C103:C105" si="14">C102+0.1</f>
        <v>22.300000000000004</v>
      </c>
      <c r="D103" s="54"/>
      <c r="E103" s="76">
        <v>0</v>
      </c>
      <c r="F103" s="67"/>
      <c r="G103" s="76"/>
      <c r="H103" s="76"/>
      <c r="I103" s="76"/>
      <c r="J103" s="76"/>
      <c r="K103" s="67"/>
      <c r="L103" s="77"/>
      <c r="M103" s="73"/>
    </row>
    <row r="104" spans="2:13">
      <c r="B104" s="12"/>
      <c r="C104" s="53">
        <f t="shared" si="14"/>
        <v>22.400000000000006</v>
      </c>
      <c r="D104" s="54"/>
      <c r="E104" s="76">
        <v>0</v>
      </c>
      <c r="F104" s="67"/>
      <c r="G104" s="76"/>
      <c r="H104" s="76"/>
      <c r="I104" s="76"/>
      <c r="J104" s="76"/>
      <c r="K104" s="67"/>
      <c r="L104" s="77"/>
      <c r="M104" s="73"/>
    </row>
    <row r="105" spans="2:13" ht="14.25" thickBot="1">
      <c r="B105" s="12"/>
      <c r="C105" s="53">
        <f t="shared" si="14"/>
        <v>22.500000000000007</v>
      </c>
      <c r="D105" s="54"/>
      <c r="E105" s="76">
        <v>0</v>
      </c>
      <c r="F105" s="67"/>
      <c r="G105" s="76"/>
      <c r="H105" s="76"/>
      <c r="I105" s="76"/>
      <c r="J105" s="76"/>
      <c r="K105" s="67"/>
      <c r="L105" s="77"/>
      <c r="M105" s="73"/>
    </row>
    <row r="106" spans="2:13" ht="18" customHeight="1">
      <c r="B106" s="12"/>
      <c r="C106" s="443" t="s">
        <v>582</v>
      </c>
      <c r="D106" s="444"/>
      <c r="E106" s="190"/>
      <c r="F106" s="178"/>
      <c r="G106" s="178"/>
      <c r="H106" s="178"/>
      <c r="I106" s="179"/>
      <c r="J106" s="180"/>
      <c r="K106" s="191"/>
      <c r="L106" s="192"/>
      <c r="M106" s="73"/>
    </row>
    <row r="107" spans="2:13">
      <c r="B107" s="12"/>
      <c r="C107" s="53">
        <v>23.1</v>
      </c>
      <c r="D107" s="54"/>
      <c r="E107" s="76">
        <v>0</v>
      </c>
      <c r="F107" s="67"/>
      <c r="G107" s="76"/>
      <c r="H107" s="76"/>
      <c r="I107" s="76"/>
      <c r="J107" s="76"/>
      <c r="K107" s="67"/>
      <c r="L107" s="77"/>
      <c r="M107" s="73"/>
    </row>
    <row r="108" spans="2:13">
      <c r="B108" s="12"/>
      <c r="C108" s="53">
        <f>C107+0.1</f>
        <v>23.200000000000003</v>
      </c>
      <c r="D108" s="54"/>
      <c r="E108" s="76">
        <v>0</v>
      </c>
      <c r="F108" s="67"/>
      <c r="G108" s="76"/>
      <c r="H108" s="76"/>
      <c r="I108" s="76"/>
      <c r="J108" s="76"/>
      <c r="K108" s="67"/>
      <c r="L108" s="77"/>
      <c r="M108" s="73"/>
    </row>
    <row r="109" spans="2:13">
      <c r="B109" s="12"/>
      <c r="C109" s="53">
        <f t="shared" ref="C109:C111" si="15">C108+0.1</f>
        <v>23.300000000000004</v>
      </c>
      <c r="D109" s="54"/>
      <c r="E109" s="76">
        <v>0</v>
      </c>
      <c r="F109" s="67"/>
      <c r="G109" s="76"/>
      <c r="H109" s="76"/>
      <c r="I109" s="76"/>
      <c r="J109" s="76"/>
      <c r="K109" s="67"/>
      <c r="L109" s="77"/>
      <c r="M109" s="73"/>
    </row>
    <row r="110" spans="2:13">
      <c r="B110" s="12"/>
      <c r="C110" s="53">
        <f t="shared" si="15"/>
        <v>23.400000000000006</v>
      </c>
      <c r="D110" s="54"/>
      <c r="E110" s="76">
        <v>0</v>
      </c>
      <c r="F110" s="67"/>
      <c r="G110" s="76"/>
      <c r="H110" s="76"/>
      <c r="I110" s="76"/>
      <c r="J110" s="76"/>
      <c r="K110" s="67"/>
      <c r="L110" s="77"/>
      <c r="M110" s="73"/>
    </row>
    <row r="111" spans="2:13" ht="14.25" thickBot="1">
      <c r="B111" s="12"/>
      <c r="C111" s="53">
        <f t="shared" si="15"/>
        <v>23.500000000000007</v>
      </c>
      <c r="D111" s="54"/>
      <c r="E111" s="76">
        <v>0</v>
      </c>
      <c r="F111" s="67"/>
      <c r="G111" s="76"/>
      <c r="H111" s="76"/>
      <c r="I111" s="76"/>
      <c r="J111" s="76"/>
      <c r="K111" s="67"/>
      <c r="L111" s="77"/>
      <c r="M111" s="73"/>
    </row>
    <row r="112" spans="2:13" ht="18" customHeight="1">
      <c r="B112" s="12"/>
      <c r="C112" s="443" t="s">
        <v>584</v>
      </c>
      <c r="D112" s="444"/>
      <c r="E112" s="190"/>
      <c r="F112" s="178"/>
      <c r="G112" s="178"/>
      <c r="H112" s="178"/>
      <c r="I112" s="179"/>
      <c r="J112" s="180"/>
      <c r="K112" s="191"/>
      <c r="L112" s="192"/>
      <c r="M112" s="73"/>
    </row>
    <row r="113" spans="2:13">
      <c r="B113" s="12"/>
      <c r="C113" s="53">
        <v>26.1</v>
      </c>
      <c r="D113" s="54"/>
      <c r="E113" s="76">
        <v>0</v>
      </c>
      <c r="F113" s="67"/>
      <c r="G113" s="76"/>
      <c r="H113" s="76"/>
      <c r="I113" s="76"/>
      <c r="J113" s="76"/>
      <c r="K113" s="67"/>
      <c r="L113" s="77"/>
      <c r="M113" s="73"/>
    </row>
    <row r="114" spans="2:13">
      <c r="B114" s="12"/>
      <c r="C114" s="53">
        <f>C113+0.1</f>
        <v>26.200000000000003</v>
      </c>
      <c r="D114" s="54"/>
      <c r="E114" s="76">
        <v>0</v>
      </c>
      <c r="F114" s="67"/>
      <c r="G114" s="76"/>
      <c r="H114" s="76"/>
      <c r="I114" s="76"/>
      <c r="J114" s="76"/>
      <c r="K114" s="67"/>
      <c r="L114" s="77"/>
      <c r="M114" s="73"/>
    </row>
    <row r="115" spans="2:13">
      <c r="B115" s="12"/>
      <c r="C115" s="53">
        <f t="shared" ref="C115:C117" si="16">C114+0.1</f>
        <v>26.300000000000004</v>
      </c>
      <c r="D115" s="54"/>
      <c r="E115" s="76">
        <v>0</v>
      </c>
      <c r="F115" s="67"/>
      <c r="G115" s="76"/>
      <c r="H115" s="76"/>
      <c r="I115" s="76"/>
      <c r="J115" s="76"/>
      <c r="K115" s="67"/>
      <c r="L115" s="77"/>
      <c r="M115" s="73"/>
    </row>
    <row r="116" spans="2:13">
      <c r="B116" s="12"/>
      <c r="C116" s="53">
        <f t="shared" si="16"/>
        <v>26.400000000000006</v>
      </c>
      <c r="D116" s="54"/>
      <c r="E116" s="76">
        <v>0</v>
      </c>
      <c r="F116" s="67"/>
      <c r="G116" s="76"/>
      <c r="H116" s="76"/>
      <c r="I116" s="76"/>
      <c r="J116" s="76"/>
      <c r="K116" s="67"/>
      <c r="L116" s="77"/>
      <c r="M116" s="73"/>
    </row>
    <row r="117" spans="2:13" ht="14.25" thickBot="1">
      <c r="B117" s="12"/>
      <c r="C117" s="53">
        <f t="shared" si="16"/>
        <v>26.500000000000007</v>
      </c>
      <c r="D117" s="54"/>
      <c r="E117" s="76">
        <v>0</v>
      </c>
      <c r="F117" s="67"/>
      <c r="G117" s="76"/>
      <c r="H117" s="76"/>
      <c r="I117" s="76"/>
      <c r="J117" s="76"/>
      <c r="K117" s="67"/>
      <c r="L117" s="77"/>
      <c r="M117" s="73"/>
    </row>
    <row r="118" spans="2:13" ht="18" customHeight="1">
      <c r="B118" s="12"/>
      <c r="C118" s="443" t="s">
        <v>590</v>
      </c>
      <c r="D118" s="444"/>
      <c r="E118" s="190"/>
      <c r="F118" s="178"/>
      <c r="G118" s="178"/>
      <c r="H118" s="178"/>
      <c r="I118" s="179"/>
      <c r="J118" s="180"/>
      <c r="K118" s="191"/>
      <c r="L118" s="192"/>
      <c r="M118" s="73"/>
    </row>
    <row r="119" spans="2:13">
      <c r="B119" s="12"/>
      <c r="C119" s="53">
        <v>27.1</v>
      </c>
      <c r="D119" s="54"/>
      <c r="E119" s="76">
        <v>0</v>
      </c>
      <c r="F119" s="67"/>
      <c r="G119" s="76"/>
      <c r="H119" s="76"/>
      <c r="I119" s="76"/>
      <c r="J119" s="76"/>
      <c r="K119" s="67"/>
      <c r="L119" s="77"/>
      <c r="M119" s="73"/>
    </row>
    <row r="120" spans="2:13">
      <c r="B120" s="12"/>
      <c r="C120" s="53">
        <f>C119+0.1</f>
        <v>27.200000000000003</v>
      </c>
      <c r="D120" s="54"/>
      <c r="E120" s="76">
        <v>0</v>
      </c>
      <c r="F120" s="67"/>
      <c r="G120" s="76"/>
      <c r="H120" s="76"/>
      <c r="I120" s="76"/>
      <c r="J120" s="76"/>
      <c r="K120" s="67"/>
      <c r="L120" s="77"/>
      <c r="M120" s="73"/>
    </row>
    <row r="121" spans="2:13">
      <c r="B121" s="12"/>
      <c r="C121" s="53">
        <f t="shared" ref="C121:C123" si="17">C120+0.1</f>
        <v>27.300000000000004</v>
      </c>
      <c r="D121" s="54"/>
      <c r="E121" s="76">
        <v>0</v>
      </c>
      <c r="F121" s="67"/>
      <c r="G121" s="76"/>
      <c r="H121" s="76"/>
      <c r="I121" s="76"/>
      <c r="J121" s="76"/>
      <c r="K121" s="67"/>
      <c r="L121" s="77"/>
      <c r="M121" s="73"/>
    </row>
    <row r="122" spans="2:13">
      <c r="B122" s="12"/>
      <c r="C122" s="53">
        <f t="shared" si="17"/>
        <v>27.400000000000006</v>
      </c>
      <c r="D122" s="54"/>
      <c r="E122" s="76">
        <v>0</v>
      </c>
      <c r="F122" s="67"/>
      <c r="G122" s="76"/>
      <c r="H122" s="76"/>
      <c r="I122" s="76"/>
      <c r="J122" s="76"/>
      <c r="K122" s="67"/>
      <c r="L122" s="77"/>
      <c r="M122" s="73"/>
    </row>
    <row r="123" spans="2:13" ht="14.25" thickBot="1">
      <c r="B123" s="12"/>
      <c r="C123" s="53">
        <f t="shared" si="17"/>
        <v>27.500000000000007</v>
      </c>
      <c r="D123" s="54"/>
      <c r="E123" s="76">
        <v>0</v>
      </c>
      <c r="F123" s="67"/>
      <c r="G123" s="76"/>
      <c r="H123" s="76"/>
      <c r="I123" s="76"/>
      <c r="J123" s="76"/>
      <c r="K123" s="67"/>
      <c r="L123" s="77"/>
      <c r="M123" s="73"/>
    </row>
    <row r="124" spans="2:13" ht="18" customHeight="1">
      <c r="B124" s="12"/>
      <c r="C124" s="443" t="s">
        <v>593</v>
      </c>
      <c r="D124" s="444"/>
      <c r="E124" s="190">
        <v>0</v>
      </c>
      <c r="F124" s="178"/>
      <c r="G124" s="178"/>
      <c r="H124" s="178"/>
      <c r="I124" s="179"/>
      <c r="J124" s="180"/>
      <c r="K124" s="191"/>
      <c r="L124" s="192"/>
      <c r="M124" s="73"/>
    </row>
    <row r="125" spans="2:13">
      <c r="B125" s="12"/>
      <c r="C125" s="53">
        <v>28.1</v>
      </c>
      <c r="D125" s="54"/>
      <c r="E125" s="76">
        <v>0</v>
      </c>
      <c r="F125" s="67"/>
      <c r="G125" s="76"/>
      <c r="H125" s="76"/>
      <c r="I125" s="76"/>
      <c r="J125" s="76"/>
      <c r="K125" s="67"/>
      <c r="L125" s="77"/>
      <c r="M125" s="73"/>
    </row>
    <row r="126" spans="2:13">
      <c r="B126" s="12"/>
      <c r="C126" s="53">
        <f>C125+0.1</f>
        <v>28.200000000000003</v>
      </c>
      <c r="D126" s="54"/>
      <c r="E126" s="76">
        <v>0</v>
      </c>
      <c r="F126" s="67"/>
      <c r="G126" s="76"/>
      <c r="H126" s="76"/>
      <c r="I126" s="76"/>
      <c r="J126" s="76"/>
      <c r="K126" s="67"/>
      <c r="L126" s="77"/>
      <c r="M126" s="73"/>
    </row>
    <row r="127" spans="2:13">
      <c r="B127" s="12"/>
      <c r="C127" s="53">
        <f t="shared" ref="C127:C129" si="18">C126+0.1</f>
        <v>28.300000000000004</v>
      </c>
      <c r="D127" s="54"/>
      <c r="E127" s="76">
        <v>0</v>
      </c>
      <c r="F127" s="67"/>
      <c r="G127" s="76"/>
      <c r="H127" s="76"/>
      <c r="I127" s="76"/>
      <c r="J127" s="76"/>
      <c r="K127" s="67"/>
      <c r="L127" s="77"/>
      <c r="M127" s="73"/>
    </row>
    <row r="128" spans="2:13">
      <c r="B128" s="12"/>
      <c r="C128" s="53">
        <f t="shared" si="18"/>
        <v>28.400000000000006</v>
      </c>
      <c r="D128" s="54"/>
      <c r="E128" s="76">
        <v>0</v>
      </c>
      <c r="F128" s="67"/>
      <c r="G128" s="76"/>
      <c r="H128" s="76"/>
      <c r="I128" s="76"/>
      <c r="J128" s="76"/>
      <c r="K128" s="67"/>
      <c r="L128" s="77"/>
      <c r="M128" s="73"/>
    </row>
    <row r="129" spans="2:13" ht="14.25" thickBot="1">
      <c r="B129" s="12"/>
      <c r="C129" s="53">
        <f t="shared" si="18"/>
        <v>28.500000000000007</v>
      </c>
      <c r="D129" s="54"/>
      <c r="E129" s="76">
        <v>0</v>
      </c>
      <c r="F129" s="67"/>
      <c r="G129" s="76"/>
      <c r="H129" s="76"/>
      <c r="I129" s="76"/>
      <c r="J129" s="76"/>
      <c r="K129" s="67"/>
      <c r="L129" s="77"/>
      <c r="M129" s="73"/>
    </row>
    <row r="130" spans="2:13" ht="18" customHeight="1">
      <c r="B130" s="12"/>
      <c r="C130" s="443" t="s">
        <v>598</v>
      </c>
      <c r="D130" s="444"/>
      <c r="E130" s="190">
        <v>0</v>
      </c>
      <c r="F130" s="178"/>
      <c r="G130" s="178"/>
      <c r="H130" s="178"/>
      <c r="I130" s="179"/>
      <c r="J130" s="180"/>
      <c r="K130" s="191"/>
      <c r="L130" s="192"/>
      <c r="M130" s="73"/>
    </row>
    <row r="131" spans="2:13">
      <c r="B131" s="12"/>
      <c r="C131" s="53">
        <v>31.1</v>
      </c>
      <c r="D131" s="54"/>
      <c r="E131" s="76">
        <v>0</v>
      </c>
      <c r="F131" s="67"/>
      <c r="G131" s="76"/>
      <c r="H131" s="76"/>
      <c r="I131" s="76"/>
      <c r="J131" s="76"/>
      <c r="K131" s="67"/>
      <c r="L131" s="77"/>
      <c r="M131" s="73"/>
    </row>
    <row r="132" spans="2:13">
      <c r="B132" s="12"/>
      <c r="C132" s="53">
        <f>C131+0.1</f>
        <v>31.200000000000003</v>
      </c>
      <c r="D132" s="54"/>
      <c r="E132" s="76">
        <v>0</v>
      </c>
      <c r="F132" s="67"/>
      <c r="G132" s="76"/>
      <c r="H132" s="76"/>
      <c r="I132" s="76"/>
      <c r="J132" s="76"/>
      <c r="K132" s="67"/>
      <c r="L132" s="77"/>
      <c r="M132" s="73"/>
    </row>
    <row r="133" spans="2:13">
      <c r="B133" s="12"/>
      <c r="C133" s="53">
        <f t="shared" ref="C133:C135" si="19">C132+0.1</f>
        <v>31.300000000000004</v>
      </c>
      <c r="D133" s="54"/>
      <c r="E133" s="76">
        <v>0</v>
      </c>
      <c r="F133" s="67"/>
      <c r="G133" s="76"/>
      <c r="H133" s="76"/>
      <c r="I133" s="76"/>
      <c r="J133" s="76"/>
      <c r="K133" s="67"/>
      <c r="L133" s="77"/>
      <c r="M133" s="73"/>
    </row>
    <row r="134" spans="2:13">
      <c r="B134" s="12"/>
      <c r="C134" s="53">
        <f t="shared" si="19"/>
        <v>31.400000000000006</v>
      </c>
      <c r="D134" s="54"/>
      <c r="E134" s="76">
        <v>0</v>
      </c>
      <c r="F134" s="67"/>
      <c r="G134" s="76"/>
      <c r="H134" s="76"/>
      <c r="I134" s="76"/>
      <c r="J134" s="76"/>
      <c r="K134" s="67"/>
      <c r="L134" s="77"/>
      <c r="M134" s="73"/>
    </row>
    <row r="135" spans="2:13" ht="14.25" thickBot="1">
      <c r="B135" s="12"/>
      <c r="C135" s="53">
        <f t="shared" si="19"/>
        <v>31.500000000000007</v>
      </c>
      <c r="D135" s="54"/>
      <c r="E135" s="76">
        <v>0</v>
      </c>
      <c r="F135" s="67"/>
      <c r="G135" s="76"/>
      <c r="H135" s="76"/>
      <c r="I135" s="76"/>
      <c r="J135" s="76"/>
      <c r="K135" s="67"/>
      <c r="L135" s="77"/>
      <c r="M135" s="73"/>
    </row>
    <row r="136" spans="2:13" ht="18" customHeight="1">
      <c r="B136" s="12"/>
      <c r="C136" s="443" t="s">
        <v>604</v>
      </c>
      <c r="D136" s="444"/>
      <c r="E136" s="190">
        <v>0</v>
      </c>
      <c r="F136" s="178"/>
      <c r="G136" s="178"/>
      <c r="H136" s="178"/>
      <c r="I136" s="179"/>
      <c r="J136" s="180"/>
      <c r="K136" s="191"/>
      <c r="L136" s="192"/>
      <c r="M136" s="73"/>
    </row>
    <row r="137" spans="2:13">
      <c r="B137" s="12"/>
      <c r="C137" s="53">
        <v>32.1</v>
      </c>
      <c r="D137" s="54"/>
      <c r="E137" s="76">
        <v>0</v>
      </c>
      <c r="F137" s="67"/>
      <c r="G137" s="76"/>
      <c r="H137" s="76"/>
      <c r="I137" s="76"/>
      <c r="J137" s="76"/>
      <c r="K137" s="67"/>
      <c r="L137" s="77"/>
      <c r="M137" s="73"/>
    </row>
    <row r="138" spans="2:13">
      <c r="B138" s="12"/>
      <c r="C138" s="53">
        <f>C137+0.1</f>
        <v>32.200000000000003</v>
      </c>
      <c r="D138" s="54"/>
      <c r="E138" s="76">
        <v>0</v>
      </c>
      <c r="F138" s="67"/>
      <c r="G138" s="76"/>
      <c r="H138" s="76"/>
      <c r="I138" s="76"/>
      <c r="J138" s="76"/>
      <c r="K138" s="67"/>
      <c r="L138" s="77"/>
      <c r="M138" s="73"/>
    </row>
    <row r="139" spans="2:13">
      <c r="B139" s="12"/>
      <c r="C139" s="53">
        <f t="shared" ref="C139:C141" si="20">C138+0.1</f>
        <v>32.300000000000004</v>
      </c>
      <c r="D139" s="54"/>
      <c r="E139" s="76">
        <v>0</v>
      </c>
      <c r="F139" s="67"/>
      <c r="G139" s="76"/>
      <c r="H139" s="76"/>
      <c r="I139" s="76"/>
      <c r="J139" s="76"/>
      <c r="K139" s="67"/>
      <c r="L139" s="77"/>
      <c r="M139" s="73"/>
    </row>
    <row r="140" spans="2:13">
      <c r="B140" s="12"/>
      <c r="C140" s="53">
        <f t="shared" si="20"/>
        <v>32.400000000000006</v>
      </c>
      <c r="D140" s="54"/>
      <c r="E140" s="76">
        <v>0</v>
      </c>
      <c r="F140" s="67"/>
      <c r="G140" s="76"/>
      <c r="H140" s="76"/>
      <c r="I140" s="76"/>
      <c r="J140" s="76"/>
      <c r="K140" s="67"/>
      <c r="L140" s="77"/>
      <c r="M140" s="73"/>
    </row>
    <row r="141" spans="2:13" ht="14.25" thickBot="1">
      <c r="B141" s="12"/>
      <c r="C141" s="53">
        <f t="shared" si="20"/>
        <v>32.500000000000007</v>
      </c>
      <c r="D141" s="54"/>
      <c r="E141" s="76">
        <v>0</v>
      </c>
      <c r="F141" s="67"/>
      <c r="G141" s="76"/>
      <c r="H141" s="76"/>
      <c r="I141" s="76"/>
      <c r="J141" s="76"/>
      <c r="K141" s="67"/>
      <c r="L141" s="77"/>
      <c r="M141" s="73"/>
    </row>
    <row r="142" spans="2:13" ht="18" customHeight="1">
      <c r="B142" s="12"/>
      <c r="C142" s="443" t="s">
        <v>623</v>
      </c>
      <c r="D142" s="444"/>
      <c r="E142" s="190"/>
      <c r="F142" s="178"/>
      <c r="G142" s="178"/>
      <c r="H142" s="178"/>
      <c r="I142" s="179"/>
      <c r="J142" s="180"/>
      <c r="K142" s="191"/>
      <c r="L142" s="192"/>
      <c r="M142" s="73"/>
    </row>
    <row r="143" spans="2:13">
      <c r="B143" s="12"/>
      <c r="C143" s="53">
        <v>33.1</v>
      </c>
      <c r="D143" s="54"/>
      <c r="E143" s="76">
        <v>0</v>
      </c>
      <c r="F143" s="67"/>
      <c r="G143" s="76"/>
      <c r="H143" s="76"/>
      <c r="I143" s="76"/>
      <c r="J143" s="76"/>
      <c r="K143" s="67"/>
      <c r="L143" s="77"/>
      <c r="M143" s="73"/>
    </row>
    <row r="144" spans="2:13">
      <c r="B144" s="12"/>
      <c r="C144" s="53">
        <f>C143+0.1</f>
        <v>33.200000000000003</v>
      </c>
      <c r="D144" s="54"/>
      <c r="E144" s="76">
        <v>0</v>
      </c>
      <c r="F144" s="67"/>
      <c r="G144" s="76"/>
      <c r="H144" s="76"/>
      <c r="I144" s="76"/>
      <c r="J144" s="76"/>
      <c r="K144" s="67"/>
      <c r="L144" s="77"/>
      <c r="M144" s="73"/>
    </row>
    <row r="145" spans="2:13">
      <c r="B145" s="12"/>
      <c r="C145" s="53">
        <f t="shared" ref="C145:C147" si="21">C144+0.1</f>
        <v>33.300000000000004</v>
      </c>
      <c r="D145" s="54"/>
      <c r="E145" s="76">
        <v>0</v>
      </c>
      <c r="F145" s="67"/>
      <c r="G145" s="76"/>
      <c r="H145" s="76"/>
      <c r="I145" s="76"/>
      <c r="J145" s="76"/>
      <c r="K145" s="67"/>
      <c r="L145" s="77"/>
      <c r="M145" s="73"/>
    </row>
    <row r="146" spans="2:13">
      <c r="B146" s="12"/>
      <c r="C146" s="53">
        <f t="shared" si="21"/>
        <v>33.400000000000006</v>
      </c>
      <c r="D146" s="54"/>
      <c r="E146" s="76">
        <v>0</v>
      </c>
      <c r="F146" s="67"/>
      <c r="G146" s="76"/>
      <c r="H146" s="76"/>
      <c r="I146" s="76"/>
      <c r="J146" s="76"/>
      <c r="K146" s="67"/>
      <c r="L146" s="77"/>
      <c r="M146" s="73"/>
    </row>
    <row r="147" spans="2:13" ht="14.25" thickBot="1">
      <c r="B147" s="12"/>
      <c r="C147" s="53">
        <f t="shared" si="21"/>
        <v>33.500000000000007</v>
      </c>
      <c r="D147" s="54"/>
      <c r="E147" s="76">
        <v>0</v>
      </c>
      <c r="F147" s="67"/>
      <c r="G147" s="76"/>
      <c r="H147" s="76"/>
      <c r="I147" s="76"/>
      <c r="J147" s="76"/>
      <c r="K147" s="67"/>
      <c r="L147" s="77"/>
      <c r="M147" s="73"/>
    </row>
    <row r="148" spans="2:13" ht="17.25">
      <c r="B148" s="12"/>
      <c r="C148" s="443" t="s">
        <v>635</v>
      </c>
      <c r="D148" s="444"/>
      <c r="E148" s="190"/>
      <c r="F148" s="178"/>
      <c r="G148" s="178"/>
      <c r="H148" s="178"/>
      <c r="I148" s="179"/>
      <c r="J148" s="180"/>
      <c r="K148" s="191"/>
      <c r="L148" s="192"/>
      <c r="M148" s="73"/>
    </row>
    <row r="149" spans="2:13">
      <c r="B149" s="12"/>
      <c r="C149" s="53">
        <v>50.1</v>
      </c>
      <c r="D149" s="54"/>
      <c r="E149" s="76">
        <v>0</v>
      </c>
      <c r="F149" s="67"/>
      <c r="G149" s="76"/>
      <c r="H149" s="76"/>
      <c r="I149" s="76"/>
      <c r="J149" s="76"/>
      <c r="K149" s="67"/>
      <c r="L149" s="77"/>
      <c r="M149" s="73"/>
    </row>
    <row r="150" spans="2:13">
      <c r="B150" s="12"/>
      <c r="C150" s="53">
        <f>C149+0.1</f>
        <v>50.2</v>
      </c>
      <c r="D150" s="54"/>
      <c r="E150" s="76">
        <v>0</v>
      </c>
      <c r="F150" s="67"/>
      <c r="G150" s="76"/>
      <c r="H150" s="76"/>
      <c r="I150" s="76"/>
      <c r="J150" s="76"/>
      <c r="K150" s="67"/>
      <c r="L150" s="77"/>
      <c r="M150" s="73"/>
    </row>
    <row r="151" spans="2:13">
      <c r="B151" s="12"/>
      <c r="C151" s="53">
        <f t="shared" ref="C151:C153" si="22">C150+0.1</f>
        <v>50.300000000000004</v>
      </c>
      <c r="D151" s="54"/>
      <c r="E151" s="76">
        <v>0</v>
      </c>
      <c r="F151" s="67"/>
      <c r="G151" s="76"/>
      <c r="H151" s="76"/>
      <c r="I151" s="76"/>
      <c r="J151" s="76"/>
      <c r="K151" s="67"/>
      <c r="L151" s="77"/>
      <c r="M151" s="73"/>
    </row>
    <row r="152" spans="2:13">
      <c r="B152" s="12"/>
      <c r="C152" s="53">
        <f t="shared" si="22"/>
        <v>50.400000000000006</v>
      </c>
      <c r="D152" s="54"/>
      <c r="E152" s="76">
        <v>0</v>
      </c>
      <c r="F152" s="67"/>
      <c r="G152" s="76"/>
      <c r="H152" s="76"/>
      <c r="I152" s="76"/>
      <c r="J152" s="76"/>
      <c r="K152" s="67"/>
      <c r="L152" s="77"/>
      <c r="M152" s="73"/>
    </row>
    <row r="153" spans="2:13" ht="14.25" thickBot="1">
      <c r="B153" s="12"/>
      <c r="C153" s="53">
        <f t="shared" si="22"/>
        <v>50.500000000000007</v>
      </c>
      <c r="D153" s="54"/>
      <c r="E153" s="76">
        <v>0</v>
      </c>
      <c r="F153" s="67"/>
      <c r="G153" s="76"/>
      <c r="H153" s="76"/>
      <c r="I153" s="76"/>
      <c r="J153" s="76"/>
      <c r="K153" s="67"/>
      <c r="L153" s="77"/>
      <c r="M153" s="73"/>
    </row>
    <row r="154" spans="2:13" ht="17.25">
      <c r="B154" s="12"/>
      <c r="C154" s="443" t="s">
        <v>644</v>
      </c>
      <c r="D154" s="444" t="s">
        <v>645</v>
      </c>
      <c r="E154" s="190"/>
      <c r="F154" s="178"/>
      <c r="G154" s="178"/>
      <c r="H154" s="178"/>
      <c r="I154" s="179"/>
      <c r="J154" s="180"/>
      <c r="K154" s="191"/>
      <c r="L154" s="192"/>
      <c r="M154" s="73"/>
    </row>
    <row r="155" spans="2:13">
      <c r="B155" s="12"/>
      <c r="C155" s="53">
        <v>80.099999999999994</v>
      </c>
      <c r="D155" s="54"/>
      <c r="E155" s="76">
        <v>0</v>
      </c>
      <c r="F155" s="67"/>
      <c r="G155" s="76"/>
      <c r="H155" s="76"/>
      <c r="I155" s="76"/>
      <c r="J155" s="76"/>
      <c r="K155" s="67"/>
      <c r="L155" s="77"/>
      <c r="M155" s="73"/>
    </row>
    <row r="156" spans="2:13">
      <c r="B156" s="12"/>
      <c r="C156" s="53">
        <f>C155+0.1</f>
        <v>80.199999999999989</v>
      </c>
      <c r="D156" s="54"/>
      <c r="E156" s="76">
        <v>0</v>
      </c>
      <c r="F156" s="67"/>
      <c r="G156" s="76"/>
      <c r="H156" s="76"/>
      <c r="I156" s="76"/>
      <c r="J156" s="76"/>
      <c r="K156" s="67"/>
      <c r="L156" s="77"/>
      <c r="M156" s="73"/>
    </row>
    <row r="157" spans="2:13">
      <c r="B157" s="12"/>
      <c r="C157" s="53">
        <f t="shared" ref="C157:C159" si="23">C156+0.1</f>
        <v>80.299999999999983</v>
      </c>
      <c r="D157" s="54"/>
      <c r="E157" s="76">
        <v>0</v>
      </c>
      <c r="F157" s="67"/>
      <c r="G157" s="76"/>
      <c r="H157" s="76"/>
      <c r="I157" s="76"/>
      <c r="J157" s="76"/>
      <c r="K157" s="67"/>
      <c r="L157" s="77"/>
      <c r="M157" s="73"/>
    </row>
    <row r="158" spans="2:13">
      <c r="B158" s="12"/>
      <c r="C158" s="53">
        <f t="shared" si="23"/>
        <v>80.399999999999977</v>
      </c>
      <c r="D158" s="54"/>
      <c r="E158" s="76">
        <v>0</v>
      </c>
      <c r="F158" s="67"/>
      <c r="G158" s="76"/>
      <c r="H158" s="76"/>
      <c r="I158" s="76"/>
      <c r="J158" s="76"/>
      <c r="K158" s="67"/>
      <c r="L158" s="77"/>
      <c r="M158" s="73"/>
    </row>
    <row r="159" spans="2:13" ht="14.25" thickBot="1">
      <c r="B159" s="12"/>
      <c r="C159" s="53">
        <f t="shared" si="23"/>
        <v>80.499999999999972</v>
      </c>
      <c r="D159" s="54"/>
      <c r="E159" s="76">
        <v>0</v>
      </c>
      <c r="F159" s="67"/>
      <c r="G159" s="76"/>
      <c r="H159" s="76"/>
      <c r="I159" s="76"/>
      <c r="J159" s="76"/>
      <c r="K159" s="67"/>
      <c r="L159" s="77"/>
      <c r="M159" s="73"/>
    </row>
    <row r="160" spans="2:13" ht="17.25">
      <c r="B160" s="12"/>
      <c r="C160" s="443" t="s">
        <v>646</v>
      </c>
      <c r="D160" s="444" t="s">
        <v>645</v>
      </c>
      <c r="E160" s="190"/>
      <c r="F160" s="178"/>
      <c r="G160" s="178"/>
      <c r="H160" s="178"/>
      <c r="I160" s="179"/>
      <c r="J160" s="180"/>
      <c r="K160" s="191"/>
      <c r="L160" s="192"/>
      <c r="M160" s="73"/>
    </row>
    <row r="161" spans="2:13">
      <c r="B161" s="12"/>
      <c r="C161" s="53" t="s">
        <v>683</v>
      </c>
      <c r="D161" s="54"/>
      <c r="E161" s="76">
        <v>0</v>
      </c>
      <c r="F161" s="67"/>
      <c r="G161" s="76"/>
      <c r="H161" s="76"/>
      <c r="I161" s="76"/>
      <c r="J161" s="76"/>
      <c r="K161" s="67"/>
      <c r="L161" s="77"/>
      <c r="M161" s="73"/>
    </row>
    <row r="162" spans="2:13">
      <c r="B162" s="12"/>
      <c r="C162" s="53" t="s">
        <v>684</v>
      </c>
      <c r="D162" s="54"/>
      <c r="E162" s="76">
        <v>0</v>
      </c>
      <c r="F162" s="67"/>
      <c r="G162" s="76"/>
      <c r="H162" s="76"/>
      <c r="I162" s="76"/>
      <c r="J162" s="76"/>
      <c r="K162" s="67"/>
      <c r="L162" s="77"/>
      <c r="M162" s="73"/>
    </row>
    <row r="163" spans="2:13">
      <c r="B163" s="12"/>
      <c r="C163" s="53" t="s">
        <v>685</v>
      </c>
      <c r="D163" s="54"/>
      <c r="E163" s="76">
        <v>0</v>
      </c>
      <c r="F163" s="67"/>
      <c r="G163" s="76"/>
      <c r="H163" s="76"/>
      <c r="I163" s="76"/>
      <c r="J163" s="76"/>
      <c r="K163" s="67"/>
      <c r="L163" s="77"/>
      <c r="M163" s="73"/>
    </row>
    <row r="164" spans="2:13">
      <c r="B164" s="12"/>
      <c r="C164" s="53" t="s">
        <v>686</v>
      </c>
      <c r="D164" s="54"/>
      <c r="E164" s="76">
        <v>0</v>
      </c>
      <c r="F164" s="67"/>
      <c r="G164" s="76"/>
      <c r="H164" s="76"/>
      <c r="I164" s="76"/>
      <c r="J164" s="76"/>
      <c r="K164" s="67"/>
      <c r="L164" s="77"/>
      <c r="M164" s="73"/>
    </row>
    <row r="165" spans="2:13">
      <c r="B165" s="12"/>
      <c r="C165" s="53" t="s">
        <v>687</v>
      </c>
      <c r="D165" s="54"/>
      <c r="E165" s="76">
        <v>0</v>
      </c>
      <c r="F165" s="67"/>
      <c r="G165" s="76"/>
      <c r="H165" s="76"/>
      <c r="I165" s="76"/>
      <c r="J165" s="76"/>
      <c r="K165" s="67"/>
      <c r="L165" s="77"/>
      <c r="M165" s="73"/>
    </row>
    <row r="166" spans="2:13" ht="16.5" thickBot="1">
      <c r="B166" s="12"/>
      <c r="C166" s="91"/>
      <c r="D166" s="63" t="s">
        <v>688</v>
      </c>
      <c r="E166" s="103">
        <f t="shared" ref="E166:J166" si="24">SUM(E11:E165)</f>
        <v>2700</v>
      </c>
      <c r="F166" s="103">
        <f t="shared" si="24"/>
        <v>0</v>
      </c>
      <c r="G166" s="103">
        <f t="shared" si="24"/>
        <v>2700</v>
      </c>
      <c r="H166" s="103">
        <f t="shared" si="24"/>
        <v>0</v>
      </c>
      <c r="I166" s="103">
        <f t="shared" si="24"/>
        <v>0</v>
      </c>
      <c r="J166" s="103">
        <f t="shared" si="24"/>
        <v>0</v>
      </c>
      <c r="K166" s="64"/>
      <c r="L166" s="65"/>
      <c r="M166" s="73"/>
    </row>
    <row r="167" spans="2:13" ht="14.25" thickBot="1">
      <c r="B167" s="38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40"/>
    </row>
  </sheetData>
  <sheetProtection sheet="1" formatCells="0" formatColumns="0" formatRows="0" insertColumns="0" insertRows="0" insertHyperlinks="0" deleteColumns="0" deleteRows="0" sort="0" autoFilter="0" pivotTables="0"/>
  <autoFilter ref="C9:L166" xr:uid="{5F68F85D-66A5-4A8F-B5B6-A8274E7393C2}"/>
  <mergeCells count="27">
    <mergeCell ref="E3:H3"/>
    <mergeCell ref="C112:D112"/>
    <mergeCell ref="C118:D118"/>
    <mergeCell ref="C124:D124"/>
    <mergeCell ref="C130:D130"/>
    <mergeCell ref="C70:D70"/>
    <mergeCell ref="C76:D76"/>
    <mergeCell ref="C34:D34"/>
    <mergeCell ref="C40:D40"/>
    <mergeCell ref="C52:D52"/>
    <mergeCell ref="C58:D58"/>
    <mergeCell ref="C64:D64"/>
    <mergeCell ref="C46:D46"/>
    <mergeCell ref="C82:D82"/>
    <mergeCell ref="C88:D88"/>
    <mergeCell ref="C94:D94"/>
    <mergeCell ref="C10:D10"/>
    <mergeCell ref="C16:D16"/>
    <mergeCell ref="C22:D22"/>
    <mergeCell ref="C28:D28"/>
    <mergeCell ref="C160:D160"/>
    <mergeCell ref="C136:D136"/>
    <mergeCell ref="C100:D100"/>
    <mergeCell ref="C106:D106"/>
    <mergeCell ref="C142:D142"/>
    <mergeCell ref="C148:D148"/>
    <mergeCell ref="C154:D154"/>
  </mergeCells>
  <pageMargins left="0.2" right="0.2" top="0.25" bottom="0.25" header="0.3" footer="0.3"/>
  <pageSetup scale="52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4D515-350E-4665-B36E-BFF2FA4FA493}">
  <sheetPr>
    <pageSetUpPr autoPageBreaks="0" fitToPage="1"/>
  </sheetPr>
  <dimension ref="A1:O171"/>
  <sheetViews>
    <sheetView showGridLines="0" view="pageBreakPreview" zoomScale="85" zoomScaleNormal="100" zoomScaleSheetLayoutView="85" workbookViewId="0">
      <pane ySplit="9" topLeftCell="A10" activePane="bottomLeft" state="frozen"/>
      <selection activeCell="D7" sqref="D7"/>
      <selection pane="bottomLeft" activeCell="D7" sqref="D7"/>
    </sheetView>
  </sheetViews>
  <sheetFormatPr defaultColWidth="11" defaultRowHeight="13.5"/>
  <cols>
    <col min="1" max="1" width="5.5703125" style="7" customWidth="1"/>
    <col min="2" max="2" width="1.85546875" style="7" customWidth="1"/>
    <col min="3" max="3" width="32.28515625" style="7" customWidth="1"/>
    <col min="4" max="4" width="68.140625" style="7" customWidth="1"/>
    <col min="5" max="5" width="38.85546875" style="7" customWidth="1"/>
    <col min="6" max="6" width="30.5703125" style="7" customWidth="1"/>
    <col min="7" max="7" width="1.85546875" style="7" customWidth="1"/>
    <col min="8" max="8" width="2.85546875" style="7" customWidth="1"/>
    <col min="9" max="9" width="1.85546875" style="7" customWidth="1"/>
    <col min="10" max="10" width="26.140625" style="7" customWidth="1"/>
    <col min="11" max="11" width="23.42578125" style="7" customWidth="1"/>
    <col min="12" max="12" width="24.42578125" style="7" customWidth="1"/>
    <col min="13" max="13" width="27.42578125" style="7" customWidth="1"/>
    <col min="14" max="14" width="19.7109375" style="7" customWidth="1"/>
    <col min="15" max="15" width="1.85546875" style="7" customWidth="1"/>
    <col min="16" max="16384" width="11" style="7"/>
  </cols>
  <sheetData>
    <row r="1" spans="1:15" ht="8.4499999999999993" customHeight="1"/>
    <row r="2" spans="1:15" ht="15.75" thickBot="1">
      <c r="C2" s="133" t="str">
        <f>'STEP 1 - PROJECT DATA'!D6&amp; "." &amp; 'STEP 1 - PROJECT DATA'!D7</f>
        <v>E26-123.0</v>
      </c>
      <c r="D2" s="134"/>
      <c r="E2" s="69"/>
      <c r="F2" s="69"/>
    </row>
    <row r="3" spans="1:15" ht="18.75" thickBot="1">
      <c r="B3" s="8"/>
      <c r="C3" s="135"/>
      <c r="D3" s="480" t="s">
        <v>658</v>
      </c>
      <c r="E3" s="480"/>
      <c r="F3" s="70"/>
      <c r="G3" s="11"/>
    </row>
    <row r="4" spans="1:15" ht="18" customHeight="1" thickBot="1">
      <c r="B4" s="12"/>
      <c r="C4" s="121"/>
      <c r="D4" s="436"/>
      <c r="E4" s="436"/>
      <c r="F4" s="408"/>
      <c r="G4" s="13"/>
      <c r="I4" s="407"/>
      <c r="M4" s="406" t="s">
        <v>689</v>
      </c>
      <c r="N4" s="415">
        <v>0.1</v>
      </c>
    </row>
    <row r="5" spans="1:15" ht="16.5">
      <c r="B5" s="12"/>
      <c r="C5" s="121"/>
      <c r="D5" s="3"/>
      <c r="F5" s="417"/>
      <c r="G5" s="72"/>
    </row>
    <row r="6" spans="1:15" ht="16.5">
      <c r="B6" s="12"/>
      <c r="C6" s="121"/>
      <c r="D6" s="3"/>
      <c r="G6" s="73"/>
    </row>
    <row r="7" spans="1:15" ht="17.25" thickBot="1">
      <c r="B7" s="12"/>
      <c r="C7" s="121"/>
      <c r="D7" s="3"/>
      <c r="G7" s="73"/>
    </row>
    <row r="8" spans="1:15" ht="15.75" thickBot="1">
      <c r="B8" s="12"/>
      <c r="C8" s="43"/>
      <c r="G8" s="73"/>
      <c r="I8" s="8"/>
      <c r="J8" s="9"/>
      <c r="K8" s="9"/>
      <c r="L8" s="9"/>
      <c r="M8" s="9"/>
      <c r="N8" s="9"/>
      <c r="O8" s="11"/>
    </row>
    <row r="9" spans="1:15" ht="17.25" thickBot="1">
      <c r="A9" s="431" t="s">
        <v>690</v>
      </c>
      <c r="C9" s="391" t="s">
        <v>690</v>
      </c>
      <c r="D9" s="423" t="s">
        <v>91</v>
      </c>
      <c r="E9" s="424" t="s">
        <v>673</v>
      </c>
      <c r="F9" s="425" t="s">
        <v>178</v>
      </c>
      <c r="G9" s="73"/>
      <c r="H9" s="74"/>
      <c r="I9" s="12"/>
      <c r="J9" s="391" t="s">
        <v>401</v>
      </c>
      <c r="K9" s="392" t="s">
        <v>91</v>
      </c>
      <c r="L9" s="393" t="s">
        <v>673</v>
      </c>
      <c r="M9" s="394" t="s">
        <v>691</v>
      </c>
      <c r="N9" s="394" t="s">
        <v>178</v>
      </c>
      <c r="O9" s="13"/>
    </row>
    <row r="10" spans="1:15" ht="16.5">
      <c r="A10" s="431">
        <f t="shared" ref="A10:A41" si="0">IF(F10&lt;&gt;0,1,0)</f>
        <v>0</v>
      </c>
      <c r="C10" s="418" t="str">
        <f>J10</f>
        <v>Alternate 01:</v>
      </c>
      <c r="D10" s="419"/>
      <c r="E10" s="419"/>
      <c r="F10" s="429">
        <f>F15</f>
        <v>0</v>
      </c>
      <c r="G10" s="73"/>
      <c r="I10" s="12"/>
      <c r="J10" s="443" t="s">
        <v>674</v>
      </c>
      <c r="K10" s="444"/>
      <c r="L10" s="444"/>
      <c r="M10" s="444"/>
      <c r="N10" s="479"/>
      <c r="O10" s="13"/>
    </row>
    <row r="11" spans="1:15">
      <c r="A11" s="431">
        <f t="shared" si="0"/>
        <v>0</v>
      </c>
      <c r="C11" s="399"/>
      <c r="D11" s="377" t="str">
        <f>IF(K11=0," ",K11)</f>
        <v xml:space="preserve"> </v>
      </c>
      <c r="E11" s="397"/>
      <c r="F11" s="396">
        <f>N11</f>
        <v>0</v>
      </c>
      <c r="G11" s="73"/>
      <c r="I11" s="12"/>
      <c r="J11" s="399"/>
      <c r="K11" s="377"/>
      <c r="L11" s="397"/>
      <c r="M11" s="398">
        <v>0</v>
      </c>
      <c r="N11" s="404">
        <f>M11*1+M11*$N$4</f>
        <v>0</v>
      </c>
      <c r="O11" s="13"/>
    </row>
    <row r="12" spans="1:15" ht="16.5">
      <c r="A12" s="431">
        <f t="shared" si="0"/>
        <v>0</v>
      </c>
      <c r="C12" s="399"/>
      <c r="D12" s="377" t="str">
        <f t="shared" ref="D12:D15" si="1">IF(K12=0," ",K12)</f>
        <v xml:space="preserve"> </v>
      </c>
      <c r="E12" s="397"/>
      <c r="F12" s="396">
        <f t="shared" ref="F12:F15" si="2">N12</f>
        <v>0</v>
      </c>
      <c r="G12" s="73"/>
      <c r="I12" s="12"/>
      <c r="J12" s="399"/>
      <c r="K12" s="377"/>
      <c r="L12" s="397"/>
      <c r="M12" s="398">
        <v>0</v>
      </c>
      <c r="N12" s="404">
        <f t="shared" ref="N12:N14" si="3">M12*1+M12*$N$4</f>
        <v>0</v>
      </c>
      <c r="O12" s="102"/>
    </row>
    <row r="13" spans="1:15" ht="16.5">
      <c r="A13" s="431">
        <f t="shared" si="0"/>
        <v>0</v>
      </c>
      <c r="C13" s="399"/>
      <c r="D13" s="377" t="str">
        <f t="shared" si="1"/>
        <v xml:space="preserve"> </v>
      </c>
      <c r="E13" s="397"/>
      <c r="F13" s="396">
        <f t="shared" si="2"/>
        <v>0</v>
      </c>
      <c r="G13" s="73"/>
      <c r="I13" s="12"/>
      <c r="J13" s="399"/>
      <c r="K13" s="377"/>
      <c r="L13" s="397"/>
      <c r="M13" s="398">
        <v>0</v>
      </c>
      <c r="N13" s="404">
        <f t="shared" si="3"/>
        <v>0</v>
      </c>
      <c r="O13" s="411"/>
    </row>
    <row r="14" spans="1:15">
      <c r="A14" s="431">
        <f t="shared" si="0"/>
        <v>0</v>
      </c>
      <c r="C14" s="399"/>
      <c r="D14" s="377" t="str">
        <f t="shared" si="1"/>
        <v xml:space="preserve"> </v>
      </c>
      <c r="E14" s="397"/>
      <c r="F14" s="396">
        <f t="shared" si="2"/>
        <v>0</v>
      </c>
      <c r="G14" s="73"/>
      <c r="I14" s="12"/>
      <c r="J14" s="399"/>
      <c r="K14" s="377"/>
      <c r="L14" s="397"/>
      <c r="M14" s="398">
        <v>0</v>
      </c>
      <c r="N14" s="404">
        <f t="shared" si="3"/>
        <v>0</v>
      </c>
      <c r="O14" s="412"/>
    </row>
    <row r="15" spans="1:15" ht="14.25" thickBot="1">
      <c r="A15" s="431">
        <f t="shared" si="0"/>
        <v>0</v>
      </c>
      <c r="C15" s="426" t="s">
        <v>692</v>
      </c>
      <c r="D15" s="401" t="str">
        <f t="shared" si="1"/>
        <v xml:space="preserve"> </v>
      </c>
      <c r="E15" s="402"/>
      <c r="F15" s="416">
        <f t="shared" si="2"/>
        <v>0</v>
      </c>
      <c r="G15" s="73"/>
      <c r="I15" s="12"/>
      <c r="J15" s="400" t="s">
        <v>692</v>
      </c>
      <c r="K15" s="401"/>
      <c r="L15" s="402"/>
      <c r="M15" s="403">
        <f>SUM(M11:M14)</f>
        <v>0</v>
      </c>
      <c r="N15" s="405">
        <f>SUM(N11:N14)</f>
        <v>0</v>
      </c>
      <c r="O15" s="412"/>
    </row>
    <row r="16" spans="1:15" ht="16.5">
      <c r="A16" s="431">
        <f t="shared" si="0"/>
        <v>0</v>
      </c>
      <c r="C16" s="418" t="str">
        <f>J16</f>
        <v>Alternate 02:</v>
      </c>
      <c r="D16" s="419"/>
      <c r="E16" s="419"/>
      <c r="F16" s="429">
        <f>F21</f>
        <v>0</v>
      </c>
      <c r="G16" s="73"/>
      <c r="I16" s="12"/>
      <c r="J16" s="443" t="s">
        <v>678</v>
      </c>
      <c r="K16" s="444"/>
      <c r="L16" s="444"/>
      <c r="M16" s="444"/>
      <c r="N16" s="479"/>
      <c r="O16" s="412"/>
    </row>
    <row r="17" spans="1:15">
      <c r="A17" s="431">
        <f t="shared" si="0"/>
        <v>0</v>
      </c>
      <c r="C17" s="399"/>
      <c r="D17" s="377" t="str">
        <f>IF(K17=0," ",K17)</f>
        <v xml:space="preserve"> </v>
      </c>
      <c r="E17" s="397"/>
      <c r="F17" s="396">
        <f>N17</f>
        <v>0</v>
      </c>
      <c r="G17" s="73"/>
      <c r="I17" s="12"/>
      <c r="J17" s="399"/>
      <c r="K17" s="377"/>
      <c r="L17" s="397"/>
      <c r="M17" s="398">
        <v>0</v>
      </c>
      <c r="N17" s="404">
        <f>M17*1+M17*$N$4</f>
        <v>0</v>
      </c>
      <c r="O17" s="412"/>
    </row>
    <row r="18" spans="1:15">
      <c r="A18" s="431">
        <f t="shared" si="0"/>
        <v>0</v>
      </c>
      <c r="C18" s="399"/>
      <c r="D18" s="377" t="str">
        <f t="shared" ref="D18:D21" si="4">IF(K18=0," ",K18)</f>
        <v xml:space="preserve"> </v>
      </c>
      <c r="E18" s="397"/>
      <c r="F18" s="396">
        <f t="shared" ref="F18:F21" si="5">N18</f>
        <v>0</v>
      </c>
      <c r="G18" s="73"/>
      <c r="I18" s="12"/>
      <c r="J18" s="399"/>
      <c r="K18" s="377"/>
      <c r="L18" s="397"/>
      <c r="M18" s="398">
        <v>0</v>
      </c>
      <c r="N18" s="404">
        <f t="shared" ref="N18:N20" si="6">M18*1+M18*$N$4</f>
        <v>0</v>
      </c>
      <c r="O18" s="412"/>
    </row>
    <row r="19" spans="1:15">
      <c r="A19" s="431">
        <f t="shared" si="0"/>
        <v>0</v>
      </c>
      <c r="C19" s="399"/>
      <c r="D19" s="377" t="str">
        <f t="shared" si="4"/>
        <v xml:space="preserve"> </v>
      </c>
      <c r="E19" s="397"/>
      <c r="F19" s="396">
        <f t="shared" si="5"/>
        <v>0</v>
      </c>
      <c r="G19" s="73"/>
      <c r="I19" s="12"/>
      <c r="J19" s="399"/>
      <c r="K19" s="377"/>
      <c r="L19" s="397"/>
      <c r="M19" s="398">
        <v>0</v>
      </c>
      <c r="N19" s="404">
        <f t="shared" si="6"/>
        <v>0</v>
      </c>
      <c r="O19" s="13"/>
    </row>
    <row r="20" spans="1:15">
      <c r="A20" s="431">
        <f t="shared" si="0"/>
        <v>0</v>
      </c>
      <c r="C20" s="399"/>
      <c r="D20" s="377" t="str">
        <f t="shared" si="4"/>
        <v xml:space="preserve"> </v>
      </c>
      <c r="E20" s="397"/>
      <c r="F20" s="396">
        <f t="shared" si="5"/>
        <v>0</v>
      </c>
      <c r="G20" s="73"/>
      <c r="I20" s="12"/>
      <c r="J20" s="399"/>
      <c r="K20" s="377"/>
      <c r="L20" s="397"/>
      <c r="M20" s="398">
        <v>0</v>
      </c>
      <c r="N20" s="404">
        <f t="shared" si="6"/>
        <v>0</v>
      </c>
      <c r="O20" s="13"/>
    </row>
    <row r="21" spans="1:15" ht="14.25" thickBot="1">
      <c r="A21" s="431">
        <f t="shared" si="0"/>
        <v>0</v>
      </c>
      <c r="C21" s="426" t="s">
        <v>692</v>
      </c>
      <c r="D21" s="401" t="str">
        <f t="shared" si="4"/>
        <v xml:space="preserve"> </v>
      </c>
      <c r="E21" s="402"/>
      <c r="F21" s="416">
        <f t="shared" si="5"/>
        <v>0</v>
      </c>
      <c r="G21" s="73"/>
      <c r="I21" s="12"/>
      <c r="J21" s="400" t="s">
        <v>692</v>
      </c>
      <c r="K21" s="401"/>
      <c r="L21" s="402"/>
      <c r="M21" s="403">
        <f>SUM(M17:M20)</f>
        <v>0</v>
      </c>
      <c r="N21" s="405">
        <f>SUM(N17:N20)</f>
        <v>0</v>
      </c>
      <c r="O21" s="13"/>
    </row>
    <row r="22" spans="1:15" ht="16.5">
      <c r="A22" s="431">
        <f t="shared" si="0"/>
        <v>1</v>
      </c>
      <c r="C22" s="418" t="str">
        <f>J22</f>
        <v>Alternate 03:</v>
      </c>
      <c r="D22" s="419"/>
      <c r="E22" s="419"/>
      <c r="F22" s="429">
        <f>F27</f>
        <v>551.1</v>
      </c>
      <c r="G22" s="73"/>
      <c r="I22" s="12"/>
      <c r="J22" s="443" t="s">
        <v>679</v>
      </c>
      <c r="K22" s="444"/>
      <c r="L22" s="444"/>
      <c r="M22" s="444"/>
      <c r="N22" s="479"/>
      <c r="O22" s="13"/>
    </row>
    <row r="23" spans="1:15">
      <c r="A23" s="431">
        <f t="shared" si="0"/>
        <v>1</v>
      </c>
      <c r="C23" s="399"/>
      <c r="D23" s="377" t="str">
        <f>IF(K23=0," ",K23)</f>
        <v xml:space="preserve"> </v>
      </c>
      <c r="E23" s="397"/>
      <c r="F23" s="396">
        <f>N23</f>
        <v>550</v>
      </c>
      <c r="G23" s="73"/>
      <c r="I23" s="12"/>
      <c r="J23" s="399"/>
      <c r="K23" s="377"/>
      <c r="L23" s="397"/>
      <c r="M23" s="398">
        <v>500</v>
      </c>
      <c r="N23" s="404">
        <f>M23*1+M23*$N$4</f>
        <v>550</v>
      </c>
      <c r="O23" s="13"/>
    </row>
    <row r="24" spans="1:15">
      <c r="A24" s="431">
        <f t="shared" si="0"/>
        <v>0</v>
      </c>
      <c r="C24" s="399"/>
      <c r="D24" s="377" t="str">
        <f t="shared" ref="D24:D27" si="7">IF(K24=0," ",K24)</f>
        <v xml:space="preserve"> </v>
      </c>
      <c r="E24" s="397"/>
      <c r="F24" s="396">
        <f t="shared" ref="F24:F27" si="8">N24</f>
        <v>0</v>
      </c>
      <c r="G24" s="73"/>
      <c r="I24" s="12"/>
      <c r="J24" s="399"/>
      <c r="K24" s="377"/>
      <c r="L24" s="397"/>
      <c r="M24" s="398">
        <v>0</v>
      </c>
      <c r="N24" s="404">
        <f t="shared" ref="N24:N26" si="9">M24*1+M24*$N$4</f>
        <v>0</v>
      </c>
      <c r="O24" s="13"/>
    </row>
    <row r="25" spans="1:15">
      <c r="A25" s="431">
        <f t="shared" si="0"/>
        <v>0</v>
      </c>
      <c r="C25" s="399"/>
      <c r="D25" s="377" t="str">
        <f t="shared" si="7"/>
        <v xml:space="preserve"> </v>
      </c>
      <c r="E25" s="397"/>
      <c r="F25" s="396">
        <f t="shared" si="8"/>
        <v>0</v>
      </c>
      <c r="G25" s="73"/>
      <c r="I25" s="12"/>
      <c r="J25" s="399"/>
      <c r="K25" s="377"/>
      <c r="L25" s="397"/>
      <c r="M25" s="398">
        <v>0</v>
      </c>
      <c r="N25" s="404">
        <f t="shared" si="9"/>
        <v>0</v>
      </c>
      <c r="O25" s="13"/>
    </row>
    <row r="26" spans="1:15">
      <c r="A26" s="431">
        <f t="shared" si="0"/>
        <v>1</v>
      </c>
      <c r="C26" s="399"/>
      <c r="D26" s="377" t="str">
        <f t="shared" si="7"/>
        <v xml:space="preserve"> </v>
      </c>
      <c r="E26" s="397"/>
      <c r="F26" s="396">
        <f t="shared" si="8"/>
        <v>1.1000000000000001</v>
      </c>
      <c r="G26" s="73"/>
      <c r="I26" s="12"/>
      <c r="J26" s="399"/>
      <c r="K26" s="377"/>
      <c r="L26" s="397"/>
      <c r="M26" s="398">
        <v>1</v>
      </c>
      <c r="N26" s="404">
        <f t="shared" si="9"/>
        <v>1.1000000000000001</v>
      </c>
      <c r="O26" s="13"/>
    </row>
    <row r="27" spans="1:15" ht="14.25" thickBot="1">
      <c r="A27" s="431">
        <f t="shared" si="0"/>
        <v>1</v>
      </c>
      <c r="C27" s="426" t="s">
        <v>692</v>
      </c>
      <c r="D27" s="401" t="str">
        <f t="shared" si="7"/>
        <v xml:space="preserve"> </v>
      </c>
      <c r="E27" s="402"/>
      <c r="F27" s="416">
        <f t="shared" si="8"/>
        <v>551.1</v>
      </c>
      <c r="G27" s="73"/>
      <c r="I27" s="12"/>
      <c r="J27" s="400" t="s">
        <v>692</v>
      </c>
      <c r="K27" s="401"/>
      <c r="L27" s="402"/>
      <c r="M27" s="403">
        <f>SUM(M23:M26)</f>
        <v>501</v>
      </c>
      <c r="N27" s="405">
        <f>SUM(N23:N26)</f>
        <v>551.1</v>
      </c>
      <c r="O27" s="13"/>
    </row>
    <row r="28" spans="1:15" ht="16.5">
      <c r="A28" s="431">
        <f t="shared" si="0"/>
        <v>0</v>
      </c>
      <c r="C28" s="418" t="str">
        <f>J28</f>
        <v>Alternate 04:</v>
      </c>
      <c r="D28" s="419"/>
      <c r="E28" s="419"/>
      <c r="F28" s="429">
        <f>F33</f>
        <v>0</v>
      </c>
      <c r="G28" s="73"/>
      <c r="I28" s="12"/>
      <c r="J28" s="443" t="s">
        <v>680</v>
      </c>
      <c r="K28" s="444"/>
      <c r="L28" s="444"/>
      <c r="M28" s="444"/>
      <c r="N28" s="479"/>
      <c r="O28" s="13"/>
    </row>
    <row r="29" spans="1:15">
      <c r="A29" s="431">
        <f t="shared" si="0"/>
        <v>0</v>
      </c>
      <c r="C29" s="399"/>
      <c r="D29" s="377" t="str">
        <f>IF(K29=0," ",K29)</f>
        <v xml:space="preserve"> </v>
      </c>
      <c r="E29" s="397"/>
      <c r="F29" s="396">
        <f>N29</f>
        <v>0</v>
      </c>
      <c r="G29" s="73"/>
      <c r="I29" s="12"/>
      <c r="J29" s="399"/>
      <c r="K29" s="377"/>
      <c r="L29" s="397"/>
      <c r="M29" s="398">
        <v>0</v>
      </c>
      <c r="N29" s="404">
        <f>M29*1+M29*$N$4</f>
        <v>0</v>
      </c>
      <c r="O29" s="13"/>
    </row>
    <row r="30" spans="1:15">
      <c r="A30" s="431">
        <f t="shared" si="0"/>
        <v>0</v>
      </c>
      <c r="C30" s="399"/>
      <c r="D30" s="377" t="str">
        <f t="shared" ref="D30:D33" si="10">IF(K30=0," ",K30)</f>
        <v xml:space="preserve"> </v>
      </c>
      <c r="E30" s="397"/>
      <c r="F30" s="396">
        <f t="shared" ref="F30:F33" si="11">N30</f>
        <v>0</v>
      </c>
      <c r="G30" s="73"/>
      <c r="I30" s="12"/>
      <c r="J30" s="399"/>
      <c r="K30" s="377"/>
      <c r="L30" s="397"/>
      <c r="M30" s="398">
        <v>0</v>
      </c>
      <c r="N30" s="404">
        <f t="shared" ref="N30:N32" si="12">M30*1+M30*$N$4</f>
        <v>0</v>
      </c>
      <c r="O30" s="13"/>
    </row>
    <row r="31" spans="1:15">
      <c r="A31" s="431">
        <f t="shared" si="0"/>
        <v>0</v>
      </c>
      <c r="C31" s="399"/>
      <c r="D31" s="377" t="str">
        <f t="shared" si="10"/>
        <v xml:space="preserve"> </v>
      </c>
      <c r="E31" s="397"/>
      <c r="F31" s="396">
        <f t="shared" si="11"/>
        <v>0</v>
      </c>
      <c r="G31" s="73"/>
      <c r="I31" s="12"/>
      <c r="J31" s="399"/>
      <c r="K31" s="377"/>
      <c r="L31" s="397"/>
      <c r="M31" s="398">
        <v>0</v>
      </c>
      <c r="N31" s="404">
        <f t="shared" si="12"/>
        <v>0</v>
      </c>
      <c r="O31" s="13"/>
    </row>
    <row r="32" spans="1:15">
      <c r="A32" s="431">
        <f t="shared" si="0"/>
        <v>0</v>
      </c>
      <c r="C32" s="399"/>
      <c r="D32" s="377" t="str">
        <f t="shared" si="10"/>
        <v xml:space="preserve"> </v>
      </c>
      <c r="E32" s="397"/>
      <c r="F32" s="396">
        <f t="shared" si="11"/>
        <v>0</v>
      </c>
      <c r="G32" s="73"/>
      <c r="I32" s="12"/>
      <c r="J32" s="399"/>
      <c r="K32" s="377"/>
      <c r="L32" s="397"/>
      <c r="M32" s="398">
        <v>0</v>
      </c>
      <c r="N32" s="404">
        <f t="shared" si="12"/>
        <v>0</v>
      </c>
      <c r="O32" s="13"/>
    </row>
    <row r="33" spans="1:15" ht="14.25" thickBot="1">
      <c r="A33" s="431">
        <f t="shared" si="0"/>
        <v>0</v>
      </c>
      <c r="C33" s="426" t="s">
        <v>692</v>
      </c>
      <c r="D33" s="401" t="str">
        <f t="shared" si="10"/>
        <v xml:space="preserve"> </v>
      </c>
      <c r="E33" s="402"/>
      <c r="F33" s="416">
        <f t="shared" si="11"/>
        <v>0</v>
      </c>
      <c r="G33" s="73"/>
      <c r="I33" s="12"/>
      <c r="J33" s="400" t="s">
        <v>692</v>
      </c>
      <c r="K33" s="401"/>
      <c r="L33" s="402"/>
      <c r="M33" s="403">
        <f>SUM(M29:M32)</f>
        <v>0</v>
      </c>
      <c r="N33" s="405">
        <f>SUM(N29:N32)</f>
        <v>0</v>
      </c>
      <c r="O33" s="13"/>
    </row>
    <row r="34" spans="1:15" ht="16.5">
      <c r="A34" s="431">
        <f t="shared" si="0"/>
        <v>0</v>
      </c>
      <c r="C34" s="418" t="str">
        <f>J34</f>
        <v>Alternate 05:</v>
      </c>
      <c r="D34" s="419"/>
      <c r="E34" s="419"/>
      <c r="F34" s="429">
        <f>F39</f>
        <v>0</v>
      </c>
      <c r="G34" s="73"/>
      <c r="I34" s="12"/>
      <c r="J34" s="443" t="s">
        <v>693</v>
      </c>
      <c r="K34" s="444"/>
      <c r="L34" s="444"/>
      <c r="M34" s="444"/>
      <c r="N34" s="479"/>
      <c r="O34" s="13"/>
    </row>
    <row r="35" spans="1:15">
      <c r="A35" s="431">
        <f t="shared" si="0"/>
        <v>0</v>
      </c>
      <c r="C35" s="399"/>
      <c r="D35" s="377" t="str">
        <f>IF(K35=0," ",K35)</f>
        <v xml:space="preserve"> </v>
      </c>
      <c r="E35" s="397"/>
      <c r="F35" s="396">
        <f>N35</f>
        <v>0</v>
      </c>
      <c r="G35" s="73"/>
      <c r="I35" s="12"/>
      <c r="J35" s="399"/>
      <c r="K35" s="377"/>
      <c r="L35" s="397"/>
      <c r="M35" s="398">
        <v>0</v>
      </c>
      <c r="N35" s="404">
        <f>M35*1+M35*$N$4</f>
        <v>0</v>
      </c>
      <c r="O35" s="13"/>
    </row>
    <row r="36" spans="1:15" ht="16.5">
      <c r="A36" s="431">
        <f t="shared" si="0"/>
        <v>0</v>
      </c>
      <c r="C36" s="399"/>
      <c r="D36" s="377" t="str">
        <f t="shared" ref="D36:D39" si="13">IF(K36=0," ",K36)</f>
        <v xml:space="preserve"> </v>
      </c>
      <c r="E36" s="397"/>
      <c r="F36" s="396">
        <f t="shared" ref="F36:F39" si="14">N36</f>
        <v>0</v>
      </c>
      <c r="G36" s="73"/>
      <c r="I36" s="12"/>
      <c r="J36" s="399"/>
      <c r="K36" s="377"/>
      <c r="L36" s="397"/>
      <c r="M36" s="398">
        <v>0</v>
      </c>
      <c r="N36" s="404">
        <f t="shared" ref="N36:N38" si="15">M36*1+M36*$N$4</f>
        <v>0</v>
      </c>
      <c r="O36" s="102"/>
    </row>
    <row r="37" spans="1:15" ht="16.5">
      <c r="A37" s="431">
        <f t="shared" si="0"/>
        <v>0</v>
      </c>
      <c r="C37" s="399"/>
      <c r="D37" s="377" t="str">
        <f t="shared" si="13"/>
        <v xml:space="preserve"> </v>
      </c>
      <c r="E37" s="397"/>
      <c r="F37" s="396">
        <f t="shared" si="14"/>
        <v>0</v>
      </c>
      <c r="G37" s="73"/>
      <c r="I37" s="12"/>
      <c r="J37" s="399"/>
      <c r="K37" s="377"/>
      <c r="L37" s="397"/>
      <c r="M37" s="398">
        <v>0</v>
      </c>
      <c r="N37" s="404">
        <f t="shared" si="15"/>
        <v>0</v>
      </c>
      <c r="O37" s="411"/>
    </row>
    <row r="38" spans="1:15">
      <c r="A38" s="431">
        <f t="shared" si="0"/>
        <v>0</v>
      </c>
      <c r="C38" s="399"/>
      <c r="D38" s="377" t="str">
        <f t="shared" si="13"/>
        <v xml:space="preserve"> </v>
      </c>
      <c r="E38" s="397"/>
      <c r="F38" s="396">
        <f t="shared" si="14"/>
        <v>0</v>
      </c>
      <c r="G38" s="73"/>
      <c r="I38" s="12"/>
      <c r="J38" s="399"/>
      <c r="K38" s="377"/>
      <c r="L38" s="397"/>
      <c r="M38" s="398">
        <v>0</v>
      </c>
      <c r="N38" s="404">
        <f t="shared" si="15"/>
        <v>0</v>
      </c>
      <c r="O38" s="412"/>
    </row>
    <row r="39" spans="1:15" ht="14.25" thickBot="1">
      <c r="A39" s="431">
        <f t="shared" si="0"/>
        <v>0</v>
      </c>
      <c r="C39" s="426" t="s">
        <v>692</v>
      </c>
      <c r="D39" s="401" t="str">
        <f t="shared" si="13"/>
        <v xml:space="preserve"> </v>
      </c>
      <c r="E39" s="402"/>
      <c r="F39" s="416">
        <f t="shared" si="14"/>
        <v>0</v>
      </c>
      <c r="G39" s="73"/>
      <c r="I39" s="12"/>
      <c r="J39" s="400" t="s">
        <v>692</v>
      </c>
      <c r="K39" s="401"/>
      <c r="L39" s="402"/>
      <c r="M39" s="403">
        <f>SUM(M35:M38)</f>
        <v>0</v>
      </c>
      <c r="N39" s="405">
        <f>SUM(N35:N38)</f>
        <v>0</v>
      </c>
      <c r="O39" s="412"/>
    </row>
    <row r="40" spans="1:15" ht="16.5">
      <c r="A40" s="431">
        <f t="shared" si="0"/>
        <v>0</v>
      </c>
      <c r="C40" s="418" t="str">
        <f>J40</f>
        <v>Alternate 06:</v>
      </c>
      <c r="D40" s="419"/>
      <c r="E40" s="419"/>
      <c r="F40" s="429">
        <f>F45</f>
        <v>0</v>
      </c>
      <c r="G40" s="73"/>
      <c r="I40" s="12"/>
      <c r="J40" s="443" t="s">
        <v>694</v>
      </c>
      <c r="K40" s="444"/>
      <c r="L40" s="444"/>
      <c r="M40" s="444"/>
      <c r="N40" s="479"/>
      <c r="O40" s="412"/>
    </row>
    <row r="41" spans="1:15">
      <c r="A41" s="431">
        <f t="shared" si="0"/>
        <v>0</v>
      </c>
      <c r="C41" s="399"/>
      <c r="D41" s="377" t="str">
        <f>IF(K41=0," ",K41)</f>
        <v xml:space="preserve"> </v>
      </c>
      <c r="E41" s="397"/>
      <c r="F41" s="396">
        <f>N41</f>
        <v>0</v>
      </c>
      <c r="G41" s="73"/>
      <c r="I41" s="12"/>
      <c r="J41" s="399"/>
      <c r="K41" s="377"/>
      <c r="L41" s="397"/>
      <c r="M41" s="398">
        <v>0</v>
      </c>
      <c r="N41" s="404">
        <f>M41*1+M41*$N$4</f>
        <v>0</v>
      </c>
      <c r="O41" s="412"/>
    </row>
    <row r="42" spans="1:15">
      <c r="A42" s="431">
        <f t="shared" ref="A42:A73" si="16">IF(F42&lt;&gt;0,1,0)</f>
        <v>0</v>
      </c>
      <c r="C42" s="399"/>
      <c r="D42" s="377" t="str">
        <f t="shared" ref="D42:D45" si="17">IF(K42=0," ",K42)</f>
        <v xml:space="preserve"> </v>
      </c>
      <c r="E42" s="397"/>
      <c r="F42" s="396">
        <f t="shared" ref="F42:F45" si="18">N42</f>
        <v>0</v>
      </c>
      <c r="G42" s="73"/>
      <c r="I42" s="12"/>
      <c r="J42" s="399"/>
      <c r="K42" s="377"/>
      <c r="L42" s="397"/>
      <c r="M42" s="398">
        <v>0</v>
      </c>
      <c r="N42" s="404">
        <f t="shared" ref="N42:N44" si="19">M42*1+M42*$N$4</f>
        <v>0</v>
      </c>
      <c r="O42" s="412"/>
    </row>
    <row r="43" spans="1:15">
      <c r="A43" s="431">
        <f t="shared" si="16"/>
        <v>0</v>
      </c>
      <c r="C43" s="399"/>
      <c r="D43" s="377" t="str">
        <f t="shared" si="17"/>
        <v xml:space="preserve"> </v>
      </c>
      <c r="E43" s="397"/>
      <c r="F43" s="396">
        <f t="shared" si="18"/>
        <v>0</v>
      </c>
      <c r="G43" s="73"/>
      <c r="I43" s="12"/>
      <c r="J43" s="399"/>
      <c r="K43" s="377"/>
      <c r="L43" s="397"/>
      <c r="M43" s="398">
        <v>0</v>
      </c>
      <c r="N43" s="404">
        <f t="shared" si="19"/>
        <v>0</v>
      </c>
      <c r="O43" s="13"/>
    </row>
    <row r="44" spans="1:15">
      <c r="A44" s="431">
        <f t="shared" si="16"/>
        <v>0</v>
      </c>
      <c r="C44" s="399"/>
      <c r="D44" s="377" t="str">
        <f t="shared" si="17"/>
        <v xml:space="preserve"> </v>
      </c>
      <c r="E44" s="397"/>
      <c r="F44" s="396">
        <f t="shared" si="18"/>
        <v>0</v>
      </c>
      <c r="G44" s="73"/>
      <c r="I44" s="12"/>
      <c r="J44" s="399"/>
      <c r="K44" s="377"/>
      <c r="L44" s="397"/>
      <c r="M44" s="398">
        <v>0</v>
      </c>
      <c r="N44" s="404">
        <f t="shared" si="19"/>
        <v>0</v>
      </c>
      <c r="O44" s="13"/>
    </row>
    <row r="45" spans="1:15" ht="14.25" thickBot="1">
      <c r="A45" s="431">
        <f t="shared" si="16"/>
        <v>0</v>
      </c>
      <c r="C45" s="426" t="s">
        <v>692</v>
      </c>
      <c r="D45" s="401" t="str">
        <f t="shared" si="17"/>
        <v xml:space="preserve"> </v>
      </c>
      <c r="E45" s="402"/>
      <c r="F45" s="416">
        <f t="shared" si="18"/>
        <v>0</v>
      </c>
      <c r="G45" s="73"/>
      <c r="I45" s="12"/>
      <c r="J45" s="400" t="s">
        <v>692</v>
      </c>
      <c r="K45" s="401"/>
      <c r="L45" s="402"/>
      <c r="M45" s="403">
        <f>SUM(M41:M44)</f>
        <v>0</v>
      </c>
      <c r="N45" s="405">
        <f>SUM(N41:N44)</f>
        <v>0</v>
      </c>
      <c r="O45" s="13"/>
    </row>
    <row r="46" spans="1:15" ht="16.5">
      <c r="A46" s="431">
        <f t="shared" si="16"/>
        <v>0</v>
      </c>
      <c r="C46" s="418" t="str">
        <f>J46</f>
        <v>Alternate 07:</v>
      </c>
      <c r="D46" s="419"/>
      <c r="E46" s="419"/>
      <c r="F46" s="429">
        <f>F51</f>
        <v>0</v>
      </c>
      <c r="G46" s="73"/>
      <c r="I46" s="12"/>
      <c r="J46" s="443" t="s">
        <v>695</v>
      </c>
      <c r="K46" s="444"/>
      <c r="L46" s="444"/>
      <c r="M46" s="444"/>
      <c r="N46" s="479"/>
      <c r="O46" s="13"/>
    </row>
    <row r="47" spans="1:15">
      <c r="A47" s="431">
        <f t="shared" si="16"/>
        <v>0</v>
      </c>
      <c r="C47" s="399"/>
      <c r="D47" s="377" t="str">
        <f>IF(K47=0," ",K47)</f>
        <v xml:space="preserve"> </v>
      </c>
      <c r="E47" s="397"/>
      <c r="F47" s="396">
        <f>N47</f>
        <v>0</v>
      </c>
      <c r="G47" s="73"/>
      <c r="I47" s="12"/>
      <c r="J47" s="399"/>
      <c r="K47" s="377"/>
      <c r="L47" s="397"/>
      <c r="M47" s="398">
        <v>0</v>
      </c>
      <c r="N47" s="404">
        <f>M47*1+M47*$N$4</f>
        <v>0</v>
      </c>
      <c r="O47" s="13"/>
    </row>
    <row r="48" spans="1:15">
      <c r="A48" s="431">
        <f t="shared" si="16"/>
        <v>0</v>
      </c>
      <c r="C48" s="399"/>
      <c r="D48" s="377" t="str">
        <f t="shared" ref="D48:D51" si="20">IF(K48=0," ",K48)</f>
        <v xml:space="preserve"> </v>
      </c>
      <c r="E48" s="397"/>
      <c r="F48" s="396">
        <f t="shared" ref="F48:F51" si="21">N48</f>
        <v>0</v>
      </c>
      <c r="G48" s="73"/>
      <c r="I48" s="12"/>
      <c r="J48" s="399"/>
      <c r="K48" s="377"/>
      <c r="L48" s="397"/>
      <c r="M48" s="398">
        <v>0</v>
      </c>
      <c r="N48" s="404">
        <f t="shared" ref="N48:N50" si="22">M48*1+M48*$N$4</f>
        <v>0</v>
      </c>
      <c r="O48" s="13"/>
    </row>
    <row r="49" spans="1:15">
      <c r="A49" s="431">
        <f t="shared" si="16"/>
        <v>0</v>
      </c>
      <c r="C49" s="399"/>
      <c r="D49" s="377" t="str">
        <f t="shared" si="20"/>
        <v xml:space="preserve"> </v>
      </c>
      <c r="E49" s="397"/>
      <c r="F49" s="396">
        <f t="shared" si="21"/>
        <v>0</v>
      </c>
      <c r="G49" s="73"/>
      <c r="I49" s="12"/>
      <c r="J49" s="399"/>
      <c r="K49" s="377"/>
      <c r="L49" s="397"/>
      <c r="M49" s="398">
        <v>0</v>
      </c>
      <c r="N49" s="404">
        <f t="shared" si="22"/>
        <v>0</v>
      </c>
      <c r="O49" s="13"/>
    </row>
    <row r="50" spans="1:15">
      <c r="A50" s="431">
        <f t="shared" si="16"/>
        <v>0</v>
      </c>
      <c r="C50" s="399"/>
      <c r="D50" s="377" t="str">
        <f t="shared" si="20"/>
        <v xml:space="preserve"> </v>
      </c>
      <c r="E50" s="397"/>
      <c r="F50" s="396">
        <f t="shared" si="21"/>
        <v>0</v>
      </c>
      <c r="G50" s="73"/>
      <c r="I50" s="12"/>
      <c r="J50" s="399"/>
      <c r="K50" s="377"/>
      <c r="L50" s="397"/>
      <c r="M50" s="398">
        <v>0</v>
      </c>
      <c r="N50" s="404">
        <f t="shared" si="22"/>
        <v>0</v>
      </c>
      <c r="O50" s="13"/>
    </row>
    <row r="51" spans="1:15" ht="14.25" thickBot="1">
      <c r="A51" s="431">
        <f t="shared" si="16"/>
        <v>0</v>
      </c>
      <c r="C51" s="426" t="s">
        <v>692</v>
      </c>
      <c r="D51" s="401" t="str">
        <f t="shared" si="20"/>
        <v xml:space="preserve"> </v>
      </c>
      <c r="E51" s="402"/>
      <c r="F51" s="416">
        <f t="shared" si="21"/>
        <v>0</v>
      </c>
      <c r="G51" s="73"/>
      <c r="I51" s="12"/>
      <c r="J51" s="400" t="s">
        <v>692</v>
      </c>
      <c r="K51" s="401"/>
      <c r="L51" s="402"/>
      <c r="M51" s="403">
        <f>SUM(M47:M50)</f>
        <v>0</v>
      </c>
      <c r="N51" s="405">
        <f>SUM(N47:N50)</f>
        <v>0</v>
      </c>
      <c r="O51" s="13"/>
    </row>
    <row r="52" spans="1:15" ht="16.5">
      <c r="A52" s="431">
        <f t="shared" si="16"/>
        <v>0</v>
      </c>
      <c r="C52" s="418" t="str">
        <f>J52</f>
        <v>Alternate 08:</v>
      </c>
      <c r="D52" s="419"/>
      <c r="E52" s="419"/>
      <c r="F52" s="429">
        <f>F57</f>
        <v>0</v>
      </c>
      <c r="G52" s="73"/>
      <c r="I52" s="12"/>
      <c r="J52" s="443" t="s">
        <v>696</v>
      </c>
      <c r="K52" s="444"/>
      <c r="L52" s="444"/>
      <c r="M52" s="444"/>
      <c r="N52" s="479"/>
      <c r="O52" s="13"/>
    </row>
    <row r="53" spans="1:15">
      <c r="A53" s="431">
        <f t="shared" si="16"/>
        <v>0</v>
      </c>
      <c r="C53" s="399"/>
      <c r="D53" s="377" t="str">
        <f>IF(K53=0," ",K53)</f>
        <v xml:space="preserve"> </v>
      </c>
      <c r="E53" s="397"/>
      <c r="F53" s="396">
        <f>N53</f>
        <v>0</v>
      </c>
      <c r="G53" s="73"/>
      <c r="I53" s="12"/>
      <c r="J53" s="399"/>
      <c r="K53" s="377"/>
      <c r="L53" s="397"/>
      <c r="M53" s="398">
        <v>0</v>
      </c>
      <c r="N53" s="404">
        <f>M53*1+M53*$N$4</f>
        <v>0</v>
      </c>
      <c r="O53" s="13"/>
    </row>
    <row r="54" spans="1:15">
      <c r="A54" s="431">
        <f t="shared" si="16"/>
        <v>0</v>
      </c>
      <c r="C54" s="399"/>
      <c r="D54" s="377" t="str">
        <f t="shared" ref="D54:D57" si="23">IF(K54=0," ",K54)</f>
        <v xml:space="preserve"> </v>
      </c>
      <c r="E54" s="397"/>
      <c r="F54" s="396">
        <f t="shared" ref="F54:F57" si="24">N54</f>
        <v>0</v>
      </c>
      <c r="G54" s="73"/>
      <c r="I54" s="12"/>
      <c r="J54" s="399"/>
      <c r="K54" s="377"/>
      <c r="L54" s="397"/>
      <c r="M54" s="398">
        <v>0</v>
      </c>
      <c r="N54" s="404">
        <f t="shared" ref="N54:N56" si="25">M54*1+M54*$N$4</f>
        <v>0</v>
      </c>
      <c r="O54" s="13"/>
    </row>
    <row r="55" spans="1:15">
      <c r="A55" s="431">
        <f t="shared" si="16"/>
        <v>0</v>
      </c>
      <c r="C55" s="399"/>
      <c r="D55" s="377" t="str">
        <f t="shared" si="23"/>
        <v xml:space="preserve"> </v>
      </c>
      <c r="E55" s="397"/>
      <c r="F55" s="396">
        <f t="shared" si="24"/>
        <v>0</v>
      </c>
      <c r="G55" s="73"/>
      <c r="I55" s="12"/>
      <c r="J55" s="399"/>
      <c r="K55" s="377"/>
      <c r="L55" s="397"/>
      <c r="M55" s="398">
        <v>0</v>
      </c>
      <c r="N55" s="404">
        <f t="shared" si="25"/>
        <v>0</v>
      </c>
      <c r="O55" s="13"/>
    </row>
    <row r="56" spans="1:15">
      <c r="A56" s="431">
        <f t="shared" si="16"/>
        <v>0</v>
      </c>
      <c r="C56" s="399"/>
      <c r="D56" s="377" t="str">
        <f t="shared" si="23"/>
        <v xml:space="preserve"> </v>
      </c>
      <c r="E56" s="397"/>
      <c r="F56" s="396">
        <f t="shared" si="24"/>
        <v>0</v>
      </c>
      <c r="G56" s="73"/>
      <c r="I56" s="12"/>
      <c r="J56" s="399"/>
      <c r="K56" s="377"/>
      <c r="L56" s="397"/>
      <c r="M56" s="398">
        <v>0</v>
      </c>
      <c r="N56" s="404">
        <f t="shared" si="25"/>
        <v>0</v>
      </c>
      <c r="O56" s="13"/>
    </row>
    <row r="57" spans="1:15" ht="14.25" thickBot="1">
      <c r="A57" s="431">
        <f t="shared" si="16"/>
        <v>0</v>
      </c>
      <c r="C57" s="426" t="s">
        <v>692</v>
      </c>
      <c r="D57" s="401" t="str">
        <f t="shared" si="23"/>
        <v xml:space="preserve"> </v>
      </c>
      <c r="E57" s="402"/>
      <c r="F57" s="416">
        <f t="shared" si="24"/>
        <v>0</v>
      </c>
      <c r="G57" s="73"/>
      <c r="I57" s="12"/>
      <c r="J57" s="400" t="s">
        <v>692</v>
      </c>
      <c r="K57" s="401"/>
      <c r="L57" s="402"/>
      <c r="M57" s="403">
        <f>SUM(M53:M56)</f>
        <v>0</v>
      </c>
      <c r="N57" s="405">
        <f>SUM(N53:N56)</f>
        <v>0</v>
      </c>
      <c r="O57" s="13"/>
    </row>
    <row r="58" spans="1:15" ht="16.5">
      <c r="A58" s="431">
        <f t="shared" si="16"/>
        <v>0</v>
      </c>
      <c r="C58" s="418" t="str">
        <f>J58</f>
        <v>Alternate 09:</v>
      </c>
      <c r="D58" s="419"/>
      <c r="E58" s="419"/>
      <c r="F58" s="429">
        <f>F63</f>
        <v>0</v>
      </c>
      <c r="G58" s="73"/>
      <c r="I58" s="12"/>
      <c r="J58" s="443" t="s">
        <v>697</v>
      </c>
      <c r="K58" s="444"/>
      <c r="L58" s="444"/>
      <c r="M58" s="444"/>
      <c r="N58" s="479"/>
      <c r="O58" s="13"/>
    </row>
    <row r="59" spans="1:15">
      <c r="A59" s="431">
        <f t="shared" si="16"/>
        <v>0</v>
      </c>
      <c r="C59" s="399"/>
      <c r="D59" s="377" t="str">
        <f>IF(K59=0," ",K59)</f>
        <v xml:space="preserve"> </v>
      </c>
      <c r="E59" s="397"/>
      <c r="F59" s="396">
        <f>N59</f>
        <v>0</v>
      </c>
      <c r="G59" s="73"/>
      <c r="I59" s="12"/>
      <c r="J59" s="399"/>
      <c r="K59" s="377"/>
      <c r="L59" s="397"/>
      <c r="M59" s="398">
        <v>0</v>
      </c>
      <c r="N59" s="404">
        <f>M59*1+M59*$N$4</f>
        <v>0</v>
      </c>
      <c r="O59" s="13"/>
    </row>
    <row r="60" spans="1:15" ht="16.5">
      <c r="A60" s="431">
        <f t="shared" si="16"/>
        <v>0</v>
      </c>
      <c r="C60" s="399"/>
      <c r="D60" s="377" t="str">
        <f t="shared" ref="D60:D63" si="26">IF(K60=0," ",K60)</f>
        <v xml:space="preserve"> </v>
      </c>
      <c r="E60" s="397"/>
      <c r="F60" s="396">
        <f t="shared" ref="F60:F63" si="27">N60</f>
        <v>0</v>
      </c>
      <c r="G60" s="73"/>
      <c r="I60" s="12"/>
      <c r="J60" s="399"/>
      <c r="K60" s="377"/>
      <c r="L60" s="397"/>
      <c r="M60" s="398">
        <v>0</v>
      </c>
      <c r="N60" s="404">
        <f t="shared" ref="N60:N62" si="28">M60*1+M60*$N$4</f>
        <v>0</v>
      </c>
      <c r="O60" s="102"/>
    </row>
    <row r="61" spans="1:15" ht="16.5">
      <c r="A61" s="431">
        <f t="shared" si="16"/>
        <v>0</v>
      </c>
      <c r="C61" s="399"/>
      <c r="D61" s="377" t="str">
        <f t="shared" si="26"/>
        <v xml:space="preserve"> </v>
      </c>
      <c r="E61" s="397"/>
      <c r="F61" s="396">
        <f t="shared" si="27"/>
        <v>0</v>
      </c>
      <c r="G61" s="73"/>
      <c r="I61" s="12"/>
      <c r="J61" s="399"/>
      <c r="K61" s="377"/>
      <c r="L61" s="397"/>
      <c r="M61" s="398">
        <v>0</v>
      </c>
      <c r="N61" s="404">
        <f t="shared" si="28"/>
        <v>0</v>
      </c>
      <c r="O61" s="411"/>
    </row>
    <row r="62" spans="1:15">
      <c r="A62" s="431">
        <f t="shared" si="16"/>
        <v>0</v>
      </c>
      <c r="C62" s="399"/>
      <c r="D62" s="377" t="str">
        <f t="shared" si="26"/>
        <v xml:space="preserve"> </v>
      </c>
      <c r="E62" s="397"/>
      <c r="F62" s="396">
        <f t="shared" si="27"/>
        <v>0</v>
      </c>
      <c r="G62" s="73"/>
      <c r="I62" s="12"/>
      <c r="J62" s="399"/>
      <c r="K62" s="377"/>
      <c r="L62" s="397"/>
      <c r="M62" s="398">
        <v>0</v>
      </c>
      <c r="N62" s="404">
        <f t="shared" si="28"/>
        <v>0</v>
      </c>
      <c r="O62" s="412"/>
    </row>
    <row r="63" spans="1:15" ht="14.25" thickBot="1">
      <c r="A63" s="431">
        <f t="shared" si="16"/>
        <v>0</v>
      </c>
      <c r="C63" s="426" t="s">
        <v>692</v>
      </c>
      <c r="D63" s="401" t="str">
        <f t="shared" si="26"/>
        <v xml:space="preserve"> </v>
      </c>
      <c r="E63" s="402"/>
      <c r="F63" s="416">
        <f t="shared" si="27"/>
        <v>0</v>
      </c>
      <c r="G63" s="73"/>
      <c r="I63" s="12"/>
      <c r="J63" s="400" t="s">
        <v>692</v>
      </c>
      <c r="K63" s="401"/>
      <c r="L63" s="402"/>
      <c r="M63" s="403">
        <f>SUM(M59:M62)</f>
        <v>0</v>
      </c>
      <c r="N63" s="405">
        <f>SUM(N59:N62)</f>
        <v>0</v>
      </c>
      <c r="O63" s="412"/>
    </row>
    <row r="64" spans="1:15" ht="16.5">
      <c r="A64" s="431">
        <f t="shared" si="16"/>
        <v>0</v>
      </c>
      <c r="C64" s="418" t="str">
        <f>J64</f>
        <v>Alternate 10:</v>
      </c>
      <c r="D64" s="419"/>
      <c r="E64" s="419"/>
      <c r="F64" s="429">
        <f>F69</f>
        <v>0</v>
      </c>
      <c r="G64" s="73"/>
      <c r="I64" s="12"/>
      <c r="J64" s="443" t="s">
        <v>698</v>
      </c>
      <c r="K64" s="444"/>
      <c r="L64" s="444"/>
      <c r="M64" s="444"/>
      <c r="N64" s="479"/>
      <c r="O64" s="412"/>
    </row>
    <row r="65" spans="1:15">
      <c r="A65" s="431">
        <f t="shared" si="16"/>
        <v>0</v>
      </c>
      <c r="C65" s="399"/>
      <c r="D65" s="377" t="str">
        <f>IF(K65=0," ",K65)</f>
        <v xml:space="preserve"> </v>
      </c>
      <c r="E65" s="397"/>
      <c r="F65" s="396">
        <f>N65</f>
        <v>0</v>
      </c>
      <c r="G65" s="73"/>
      <c r="I65" s="12"/>
      <c r="J65" s="399"/>
      <c r="K65" s="377"/>
      <c r="L65" s="397"/>
      <c r="M65" s="398">
        <v>0</v>
      </c>
      <c r="N65" s="404">
        <f>M65*1+M65*$N$4</f>
        <v>0</v>
      </c>
      <c r="O65" s="412"/>
    </row>
    <row r="66" spans="1:15">
      <c r="A66" s="431">
        <f t="shared" si="16"/>
        <v>0</v>
      </c>
      <c r="C66" s="399"/>
      <c r="D66" s="377" t="str">
        <f t="shared" ref="D66:D69" si="29">IF(K66=0," ",K66)</f>
        <v xml:space="preserve"> </v>
      </c>
      <c r="E66" s="397"/>
      <c r="F66" s="396">
        <f t="shared" ref="F66:F69" si="30">N66</f>
        <v>0</v>
      </c>
      <c r="G66" s="73"/>
      <c r="I66" s="12"/>
      <c r="J66" s="399"/>
      <c r="K66" s="377"/>
      <c r="L66" s="397"/>
      <c r="M66" s="398">
        <v>0</v>
      </c>
      <c r="N66" s="404">
        <f t="shared" ref="N66:N68" si="31">M66*1+M66*$N$4</f>
        <v>0</v>
      </c>
      <c r="O66" s="412"/>
    </row>
    <row r="67" spans="1:15">
      <c r="A67" s="431">
        <f t="shared" si="16"/>
        <v>0</v>
      </c>
      <c r="C67" s="399"/>
      <c r="D67" s="377" t="str">
        <f t="shared" si="29"/>
        <v xml:space="preserve"> </v>
      </c>
      <c r="E67" s="397"/>
      <c r="F67" s="396">
        <f t="shared" si="30"/>
        <v>0</v>
      </c>
      <c r="G67" s="73"/>
      <c r="I67" s="12"/>
      <c r="J67" s="399"/>
      <c r="K67" s="377"/>
      <c r="L67" s="397"/>
      <c r="M67" s="398">
        <v>0</v>
      </c>
      <c r="N67" s="404">
        <f t="shared" si="31"/>
        <v>0</v>
      </c>
      <c r="O67" s="13"/>
    </row>
    <row r="68" spans="1:15">
      <c r="A68" s="431">
        <f t="shared" si="16"/>
        <v>0</v>
      </c>
      <c r="C68" s="399"/>
      <c r="D68" s="377" t="str">
        <f t="shared" si="29"/>
        <v xml:space="preserve"> </v>
      </c>
      <c r="E68" s="397"/>
      <c r="F68" s="396">
        <f t="shared" si="30"/>
        <v>0</v>
      </c>
      <c r="G68" s="73"/>
      <c r="I68" s="12"/>
      <c r="J68" s="399"/>
      <c r="K68" s="377"/>
      <c r="L68" s="397"/>
      <c r="M68" s="398">
        <v>0</v>
      </c>
      <c r="N68" s="404">
        <f t="shared" si="31"/>
        <v>0</v>
      </c>
      <c r="O68" s="13"/>
    </row>
    <row r="69" spans="1:15" ht="14.25" thickBot="1">
      <c r="A69" s="431">
        <f t="shared" si="16"/>
        <v>0</v>
      </c>
      <c r="C69" s="426" t="s">
        <v>692</v>
      </c>
      <c r="D69" s="401" t="str">
        <f t="shared" si="29"/>
        <v xml:space="preserve"> </v>
      </c>
      <c r="E69" s="402"/>
      <c r="F69" s="416">
        <f t="shared" si="30"/>
        <v>0</v>
      </c>
      <c r="G69" s="73"/>
      <c r="I69" s="12"/>
      <c r="J69" s="400" t="s">
        <v>692</v>
      </c>
      <c r="K69" s="401"/>
      <c r="L69" s="402"/>
      <c r="M69" s="403">
        <f>SUM(M65:M68)</f>
        <v>0</v>
      </c>
      <c r="N69" s="405">
        <f>SUM(N65:N68)</f>
        <v>0</v>
      </c>
      <c r="O69" s="13"/>
    </row>
    <row r="70" spans="1:15" ht="16.5">
      <c r="A70" s="431">
        <f t="shared" si="16"/>
        <v>0</v>
      </c>
      <c r="C70" s="418" t="str">
        <f>J70</f>
        <v>Alternate 11:</v>
      </c>
      <c r="D70" s="419"/>
      <c r="E70" s="419"/>
      <c r="F70" s="429">
        <f>F75</f>
        <v>0</v>
      </c>
      <c r="G70" s="73"/>
      <c r="I70" s="12"/>
      <c r="J70" s="443" t="s">
        <v>699</v>
      </c>
      <c r="K70" s="444"/>
      <c r="L70" s="444"/>
      <c r="M70" s="444"/>
      <c r="N70" s="479"/>
      <c r="O70" s="13"/>
    </row>
    <row r="71" spans="1:15">
      <c r="A71" s="431">
        <f t="shared" si="16"/>
        <v>0</v>
      </c>
      <c r="C71" s="399"/>
      <c r="D71" s="377" t="str">
        <f>IF(K71=0," ",K71)</f>
        <v xml:space="preserve"> </v>
      </c>
      <c r="E71" s="397"/>
      <c r="F71" s="396">
        <f>N71</f>
        <v>0</v>
      </c>
      <c r="G71" s="73"/>
      <c r="I71" s="12"/>
      <c r="J71" s="399"/>
      <c r="K71" s="377"/>
      <c r="L71" s="397"/>
      <c r="M71" s="398">
        <v>0</v>
      </c>
      <c r="N71" s="404">
        <f>M71*1+M71*$N$4</f>
        <v>0</v>
      </c>
      <c r="O71" s="13"/>
    </row>
    <row r="72" spans="1:15">
      <c r="A72" s="431">
        <f t="shared" si="16"/>
        <v>0</v>
      </c>
      <c r="C72" s="399"/>
      <c r="D72" s="377" t="str">
        <f t="shared" ref="D72:D75" si="32">IF(K72=0," ",K72)</f>
        <v xml:space="preserve"> </v>
      </c>
      <c r="E72" s="397"/>
      <c r="F72" s="396">
        <f t="shared" ref="F72:F75" si="33">N72</f>
        <v>0</v>
      </c>
      <c r="G72" s="73"/>
      <c r="I72" s="12"/>
      <c r="J72" s="399"/>
      <c r="K72" s="377"/>
      <c r="L72" s="397"/>
      <c r="M72" s="398">
        <v>0</v>
      </c>
      <c r="N72" s="404">
        <f t="shared" ref="N72:N74" si="34">M72*1+M72*$N$4</f>
        <v>0</v>
      </c>
      <c r="O72" s="13"/>
    </row>
    <row r="73" spans="1:15">
      <c r="A73" s="431">
        <f t="shared" si="16"/>
        <v>0</v>
      </c>
      <c r="C73" s="399"/>
      <c r="D73" s="377" t="str">
        <f t="shared" si="32"/>
        <v xml:space="preserve"> </v>
      </c>
      <c r="E73" s="397"/>
      <c r="F73" s="396">
        <f t="shared" si="33"/>
        <v>0</v>
      </c>
      <c r="G73" s="73"/>
      <c r="I73" s="12"/>
      <c r="J73" s="399"/>
      <c r="K73" s="377"/>
      <c r="L73" s="397"/>
      <c r="M73" s="398">
        <v>0</v>
      </c>
      <c r="N73" s="404">
        <f t="shared" si="34"/>
        <v>0</v>
      </c>
      <c r="O73" s="13"/>
    </row>
    <row r="74" spans="1:15">
      <c r="A74" s="431">
        <f t="shared" ref="A74:A105" si="35">IF(F74&lt;&gt;0,1,0)</f>
        <v>0</v>
      </c>
      <c r="C74" s="399"/>
      <c r="D74" s="377" t="str">
        <f t="shared" si="32"/>
        <v xml:space="preserve"> </v>
      </c>
      <c r="E74" s="397"/>
      <c r="F74" s="396">
        <f t="shared" si="33"/>
        <v>0</v>
      </c>
      <c r="G74" s="73"/>
      <c r="I74" s="12"/>
      <c r="J74" s="399"/>
      <c r="K74" s="377"/>
      <c r="L74" s="397"/>
      <c r="M74" s="398">
        <v>0</v>
      </c>
      <c r="N74" s="404">
        <f t="shared" si="34"/>
        <v>0</v>
      </c>
      <c r="O74" s="13"/>
    </row>
    <row r="75" spans="1:15" ht="14.25" thickBot="1">
      <c r="A75" s="431">
        <f t="shared" si="35"/>
        <v>0</v>
      </c>
      <c r="C75" s="426" t="s">
        <v>692</v>
      </c>
      <c r="D75" s="401" t="str">
        <f t="shared" si="32"/>
        <v xml:space="preserve"> </v>
      </c>
      <c r="E75" s="402"/>
      <c r="F75" s="416">
        <f t="shared" si="33"/>
        <v>0</v>
      </c>
      <c r="G75" s="73"/>
      <c r="I75" s="12"/>
      <c r="J75" s="400" t="s">
        <v>692</v>
      </c>
      <c r="K75" s="401"/>
      <c r="L75" s="402"/>
      <c r="M75" s="403">
        <f>SUM(M71:M74)</f>
        <v>0</v>
      </c>
      <c r="N75" s="405">
        <f>SUM(N71:N74)</f>
        <v>0</v>
      </c>
      <c r="O75" s="13"/>
    </row>
    <row r="76" spans="1:15" ht="16.5">
      <c r="A76" s="431">
        <f t="shared" si="35"/>
        <v>0</v>
      </c>
      <c r="C76" s="418" t="str">
        <f>J76</f>
        <v>Alternate 12:</v>
      </c>
      <c r="D76" s="419"/>
      <c r="E76" s="419"/>
      <c r="F76" s="429">
        <f>F81</f>
        <v>0</v>
      </c>
      <c r="G76" s="73"/>
      <c r="I76" s="12"/>
      <c r="J76" s="443" t="s">
        <v>700</v>
      </c>
      <c r="K76" s="444"/>
      <c r="L76" s="444"/>
      <c r="M76" s="444"/>
      <c r="N76" s="479"/>
      <c r="O76" s="13"/>
    </row>
    <row r="77" spans="1:15">
      <c r="A77" s="431">
        <f t="shared" si="35"/>
        <v>0</v>
      </c>
      <c r="C77" s="399"/>
      <c r="D77" s="377" t="str">
        <f>IF(K77=0," ",K77)</f>
        <v xml:space="preserve"> </v>
      </c>
      <c r="E77" s="397"/>
      <c r="F77" s="396">
        <f>N77</f>
        <v>0</v>
      </c>
      <c r="G77" s="73"/>
      <c r="I77" s="12"/>
      <c r="J77" s="399"/>
      <c r="K77" s="377"/>
      <c r="L77" s="397"/>
      <c r="M77" s="398">
        <v>0</v>
      </c>
      <c r="N77" s="404">
        <f>M77*1+M77*$N$4</f>
        <v>0</v>
      </c>
      <c r="O77" s="13"/>
    </row>
    <row r="78" spans="1:15">
      <c r="A78" s="431">
        <f t="shared" si="35"/>
        <v>0</v>
      </c>
      <c r="C78" s="399"/>
      <c r="D78" s="377" t="str">
        <f t="shared" ref="D78:D81" si="36">IF(K78=0," ",K78)</f>
        <v xml:space="preserve"> </v>
      </c>
      <c r="E78" s="397"/>
      <c r="F78" s="396">
        <f t="shared" ref="F78:F81" si="37">N78</f>
        <v>0</v>
      </c>
      <c r="G78" s="73"/>
      <c r="I78" s="12"/>
      <c r="J78" s="399"/>
      <c r="K78" s="377"/>
      <c r="L78" s="397"/>
      <c r="M78" s="398">
        <v>0</v>
      </c>
      <c r="N78" s="404">
        <f t="shared" ref="N78:N80" si="38">M78*1+M78*$N$4</f>
        <v>0</v>
      </c>
      <c r="O78" s="13"/>
    </row>
    <row r="79" spans="1:15">
      <c r="A79" s="431">
        <f t="shared" si="35"/>
        <v>0</v>
      </c>
      <c r="C79" s="399"/>
      <c r="D79" s="377" t="str">
        <f t="shared" si="36"/>
        <v xml:space="preserve"> </v>
      </c>
      <c r="E79" s="397"/>
      <c r="F79" s="396">
        <f t="shared" si="37"/>
        <v>0</v>
      </c>
      <c r="G79" s="73"/>
      <c r="I79" s="12"/>
      <c r="J79" s="399"/>
      <c r="K79" s="377"/>
      <c r="L79" s="397"/>
      <c r="M79" s="398">
        <v>0</v>
      </c>
      <c r="N79" s="404">
        <f t="shared" si="38"/>
        <v>0</v>
      </c>
      <c r="O79" s="13"/>
    </row>
    <row r="80" spans="1:15">
      <c r="A80" s="431">
        <f t="shared" si="35"/>
        <v>0</v>
      </c>
      <c r="C80" s="399"/>
      <c r="D80" s="377" t="str">
        <f t="shared" si="36"/>
        <v xml:space="preserve"> </v>
      </c>
      <c r="E80" s="397"/>
      <c r="F80" s="396">
        <f t="shared" si="37"/>
        <v>0</v>
      </c>
      <c r="G80" s="73"/>
      <c r="I80" s="12"/>
      <c r="J80" s="399"/>
      <c r="K80" s="377"/>
      <c r="L80" s="397"/>
      <c r="M80" s="398">
        <v>0</v>
      </c>
      <c r="N80" s="404">
        <f t="shared" si="38"/>
        <v>0</v>
      </c>
      <c r="O80" s="13"/>
    </row>
    <row r="81" spans="1:15" ht="14.25" thickBot="1">
      <c r="A81" s="431">
        <f t="shared" si="35"/>
        <v>0</v>
      </c>
      <c r="C81" s="426" t="s">
        <v>692</v>
      </c>
      <c r="D81" s="401" t="str">
        <f t="shared" si="36"/>
        <v xml:space="preserve"> </v>
      </c>
      <c r="E81" s="402"/>
      <c r="F81" s="416">
        <f t="shared" si="37"/>
        <v>0</v>
      </c>
      <c r="G81" s="73"/>
      <c r="I81" s="12"/>
      <c r="J81" s="400" t="s">
        <v>692</v>
      </c>
      <c r="K81" s="401"/>
      <c r="L81" s="402"/>
      <c r="M81" s="403">
        <f>SUM(M77:M80)</f>
        <v>0</v>
      </c>
      <c r="N81" s="405">
        <f>SUM(N77:N80)</f>
        <v>0</v>
      </c>
      <c r="O81" s="13"/>
    </row>
    <row r="82" spans="1:15" ht="16.5">
      <c r="A82" s="431">
        <f t="shared" si="35"/>
        <v>0</v>
      </c>
      <c r="C82" s="418" t="str">
        <f>J82</f>
        <v>Alternate 13:</v>
      </c>
      <c r="D82" s="419"/>
      <c r="E82" s="419"/>
      <c r="F82" s="429">
        <f>F87</f>
        <v>0</v>
      </c>
      <c r="G82" s="73"/>
      <c r="I82" s="12"/>
      <c r="J82" s="443" t="s">
        <v>701</v>
      </c>
      <c r="K82" s="444"/>
      <c r="L82" s="444"/>
      <c r="M82" s="444"/>
      <c r="N82" s="479"/>
      <c r="O82" s="13"/>
    </row>
    <row r="83" spans="1:15">
      <c r="A83" s="431">
        <f t="shared" si="35"/>
        <v>0</v>
      </c>
      <c r="C83" s="399"/>
      <c r="D83" s="377" t="str">
        <f>IF(K83=0," ",K83)</f>
        <v xml:space="preserve"> </v>
      </c>
      <c r="E83" s="397"/>
      <c r="F83" s="396">
        <f>N83</f>
        <v>0</v>
      </c>
      <c r="G83" s="73"/>
      <c r="I83" s="12"/>
      <c r="J83" s="399"/>
      <c r="K83" s="377"/>
      <c r="L83" s="397"/>
      <c r="M83" s="398">
        <v>0</v>
      </c>
      <c r="N83" s="404">
        <f>M83*1+M83*$N$4</f>
        <v>0</v>
      </c>
      <c r="O83" s="13"/>
    </row>
    <row r="84" spans="1:15" ht="16.5">
      <c r="A84" s="431">
        <f t="shared" si="35"/>
        <v>0</v>
      </c>
      <c r="C84" s="399"/>
      <c r="D84" s="377" t="str">
        <f t="shared" ref="D84:D87" si="39">IF(K84=0," ",K84)</f>
        <v xml:space="preserve"> </v>
      </c>
      <c r="E84" s="397"/>
      <c r="F84" s="396">
        <f t="shared" ref="F84:F87" si="40">N84</f>
        <v>0</v>
      </c>
      <c r="G84" s="73"/>
      <c r="I84" s="12"/>
      <c r="J84" s="399"/>
      <c r="K84" s="377"/>
      <c r="L84" s="397"/>
      <c r="M84" s="398">
        <v>0</v>
      </c>
      <c r="N84" s="404">
        <f t="shared" ref="N84:N86" si="41">M84*1+M84*$N$4</f>
        <v>0</v>
      </c>
      <c r="O84" s="102"/>
    </row>
    <row r="85" spans="1:15" ht="16.5">
      <c r="A85" s="431">
        <f t="shared" si="35"/>
        <v>0</v>
      </c>
      <c r="C85" s="399"/>
      <c r="D85" s="377" t="str">
        <f t="shared" si="39"/>
        <v xml:space="preserve"> </v>
      </c>
      <c r="E85" s="397"/>
      <c r="F85" s="396">
        <f t="shared" si="40"/>
        <v>0</v>
      </c>
      <c r="G85" s="73"/>
      <c r="I85" s="12"/>
      <c r="J85" s="399"/>
      <c r="K85" s="377"/>
      <c r="L85" s="397"/>
      <c r="M85" s="398">
        <v>0</v>
      </c>
      <c r="N85" s="404">
        <f t="shared" si="41"/>
        <v>0</v>
      </c>
      <c r="O85" s="411"/>
    </row>
    <row r="86" spans="1:15">
      <c r="A86" s="431">
        <f t="shared" si="35"/>
        <v>0</v>
      </c>
      <c r="C86" s="399"/>
      <c r="D86" s="377" t="str">
        <f t="shared" si="39"/>
        <v xml:space="preserve"> </v>
      </c>
      <c r="E86" s="397"/>
      <c r="F86" s="396">
        <f t="shared" si="40"/>
        <v>0</v>
      </c>
      <c r="G86" s="73"/>
      <c r="I86" s="12"/>
      <c r="J86" s="399"/>
      <c r="K86" s="377"/>
      <c r="L86" s="397"/>
      <c r="M86" s="398">
        <v>0</v>
      </c>
      <c r="N86" s="404">
        <f t="shared" si="41"/>
        <v>0</v>
      </c>
      <c r="O86" s="412"/>
    </row>
    <row r="87" spans="1:15" ht="14.25" thickBot="1">
      <c r="A87" s="431">
        <f t="shared" si="35"/>
        <v>0</v>
      </c>
      <c r="C87" s="426" t="s">
        <v>692</v>
      </c>
      <c r="D87" s="401" t="str">
        <f t="shared" si="39"/>
        <v xml:space="preserve"> </v>
      </c>
      <c r="E87" s="402"/>
      <c r="F87" s="416">
        <f t="shared" si="40"/>
        <v>0</v>
      </c>
      <c r="G87" s="73"/>
      <c r="I87" s="12"/>
      <c r="J87" s="400" t="s">
        <v>692</v>
      </c>
      <c r="K87" s="401"/>
      <c r="L87" s="402"/>
      <c r="M87" s="403">
        <f>SUM(M83:M86)</f>
        <v>0</v>
      </c>
      <c r="N87" s="405">
        <f>SUM(N83:N86)</f>
        <v>0</v>
      </c>
      <c r="O87" s="412"/>
    </row>
    <row r="88" spans="1:15" ht="16.5">
      <c r="A88" s="431">
        <f t="shared" si="35"/>
        <v>0</v>
      </c>
      <c r="C88" s="418" t="str">
        <f>J88</f>
        <v>Alternate 14:</v>
      </c>
      <c r="D88" s="419"/>
      <c r="E88" s="419"/>
      <c r="F88" s="429">
        <f>F93</f>
        <v>0</v>
      </c>
      <c r="G88" s="73"/>
      <c r="I88" s="12"/>
      <c r="J88" s="443" t="s">
        <v>702</v>
      </c>
      <c r="K88" s="444"/>
      <c r="L88" s="444"/>
      <c r="M88" s="444"/>
      <c r="N88" s="479"/>
      <c r="O88" s="412"/>
    </row>
    <row r="89" spans="1:15">
      <c r="A89" s="431">
        <f t="shared" si="35"/>
        <v>0</v>
      </c>
      <c r="C89" s="399"/>
      <c r="D89" s="377" t="str">
        <f>IF(K89=0," ",K89)</f>
        <v xml:space="preserve"> </v>
      </c>
      <c r="E89" s="397"/>
      <c r="F89" s="396">
        <f>N89</f>
        <v>0</v>
      </c>
      <c r="G89" s="73"/>
      <c r="I89" s="12"/>
      <c r="J89" s="399"/>
      <c r="K89" s="377"/>
      <c r="L89" s="397"/>
      <c r="M89" s="398">
        <v>0</v>
      </c>
      <c r="N89" s="404">
        <f>M89*1+M89*$N$4</f>
        <v>0</v>
      </c>
      <c r="O89" s="412"/>
    </row>
    <row r="90" spans="1:15">
      <c r="A90" s="431">
        <f t="shared" si="35"/>
        <v>0</v>
      </c>
      <c r="C90" s="399"/>
      <c r="D90" s="377" t="str">
        <f t="shared" ref="D90:D93" si="42">IF(K90=0," ",K90)</f>
        <v xml:space="preserve"> </v>
      </c>
      <c r="E90" s="397"/>
      <c r="F90" s="396">
        <f t="shared" ref="F90:F93" si="43">N90</f>
        <v>0</v>
      </c>
      <c r="G90" s="73"/>
      <c r="I90" s="12"/>
      <c r="J90" s="399"/>
      <c r="K90" s="377"/>
      <c r="L90" s="397"/>
      <c r="M90" s="398">
        <v>0</v>
      </c>
      <c r="N90" s="404">
        <f t="shared" ref="N90:N92" si="44">M90*1+M90*$N$4</f>
        <v>0</v>
      </c>
      <c r="O90" s="412"/>
    </row>
    <row r="91" spans="1:15">
      <c r="A91" s="431">
        <f t="shared" si="35"/>
        <v>0</v>
      </c>
      <c r="C91" s="399"/>
      <c r="D91" s="377" t="str">
        <f t="shared" si="42"/>
        <v xml:space="preserve"> </v>
      </c>
      <c r="E91" s="397"/>
      <c r="F91" s="396">
        <f t="shared" si="43"/>
        <v>0</v>
      </c>
      <c r="G91" s="73"/>
      <c r="I91" s="12"/>
      <c r="J91" s="399"/>
      <c r="K91" s="377"/>
      <c r="L91" s="397"/>
      <c r="M91" s="398">
        <v>0</v>
      </c>
      <c r="N91" s="404">
        <f t="shared" si="44"/>
        <v>0</v>
      </c>
      <c r="O91" s="13"/>
    </row>
    <row r="92" spans="1:15">
      <c r="A92" s="431">
        <f t="shared" si="35"/>
        <v>0</v>
      </c>
      <c r="C92" s="399"/>
      <c r="D92" s="377" t="str">
        <f t="shared" si="42"/>
        <v xml:space="preserve"> </v>
      </c>
      <c r="E92" s="397"/>
      <c r="F92" s="396">
        <f t="shared" si="43"/>
        <v>0</v>
      </c>
      <c r="G92" s="73"/>
      <c r="I92" s="12"/>
      <c r="J92" s="399"/>
      <c r="K92" s="377"/>
      <c r="L92" s="397"/>
      <c r="M92" s="398">
        <v>0</v>
      </c>
      <c r="N92" s="404">
        <f t="shared" si="44"/>
        <v>0</v>
      </c>
      <c r="O92" s="13"/>
    </row>
    <row r="93" spans="1:15" ht="14.25" thickBot="1">
      <c r="A93" s="431">
        <f t="shared" si="35"/>
        <v>0</v>
      </c>
      <c r="C93" s="426" t="s">
        <v>692</v>
      </c>
      <c r="D93" s="401" t="str">
        <f t="shared" si="42"/>
        <v xml:space="preserve"> </v>
      </c>
      <c r="E93" s="402"/>
      <c r="F93" s="416">
        <f t="shared" si="43"/>
        <v>0</v>
      </c>
      <c r="G93" s="73"/>
      <c r="I93" s="12"/>
      <c r="J93" s="400" t="s">
        <v>692</v>
      </c>
      <c r="K93" s="401"/>
      <c r="L93" s="402"/>
      <c r="M93" s="403">
        <f>SUM(M89:M92)</f>
        <v>0</v>
      </c>
      <c r="N93" s="405">
        <f>SUM(N89:N92)</f>
        <v>0</v>
      </c>
      <c r="O93" s="13"/>
    </row>
    <row r="94" spans="1:15" ht="16.5">
      <c r="A94" s="431">
        <f t="shared" si="35"/>
        <v>0</v>
      </c>
      <c r="C94" s="418" t="str">
        <f>J94</f>
        <v>Alternate 15:</v>
      </c>
      <c r="D94" s="419"/>
      <c r="E94" s="419"/>
      <c r="F94" s="429">
        <f>F99</f>
        <v>0</v>
      </c>
      <c r="G94" s="73"/>
      <c r="I94" s="12"/>
      <c r="J94" s="443" t="s">
        <v>703</v>
      </c>
      <c r="K94" s="444"/>
      <c r="L94" s="444"/>
      <c r="M94" s="444"/>
      <c r="N94" s="479"/>
      <c r="O94" s="13"/>
    </row>
    <row r="95" spans="1:15">
      <c r="A95" s="431">
        <f t="shared" si="35"/>
        <v>0</v>
      </c>
      <c r="C95" s="399"/>
      <c r="D95" s="377" t="str">
        <f>IF(K95=0," ",K95)</f>
        <v xml:space="preserve"> </v>
      </c>
      <c r="E95" s="397"/>
      <c r="F95" s="396">
        <f>N95</f>
        <v>0</v>
      </c>
      <c r="G95" s="73"/>
      <c r="I95" s="12"/>
      <c r="J95" s="399"/>
      <c r="K95" s="377"/>
      <c r="L95" s="397"/>
      <c r="M95" s="398">
        <v>0</v>
      </c>
      <c r="N95" s="404">
        <f>M95*1+M95*$N$4</f>
        <v>0</v>
      </c>
      <c r="O95" s="13"/>
    </row>
    <row r="96" spans="1:15">
      <c r="A96" s="431">
        <f t="shared" si="35"/>
        <v>0</v>
      </c>
      <c r="C96" s="399"/>
      <c r="D96" s="377" t="str">
        <f t="shared" ref="D96:D99" si="45">IF(K96=0," ",K96)</f>
        <v xml:space="preserve"> </v>
      </c>
      <c r="E96" s="397"/>
      <c r="F96" s="396">
        <f t="shared" ref="F96:F99" si="46">N96</f>
        <v>0</v>
      </c>
      <c r="G96" s="73"/>
      <c r="I96" s="12"/>
      <c r="J96" s="399"/>
      <c r="K96" s="377"/>
      <c r="L96" s="397"/>
      <c r="M96" s="398">
        <v>0</v>
      </c>
      <c r="N96" s="404">
        <f t="shared" ref="N96:N98" si="47">M96*1+M96*$N$4</f>
        <v>0</v>
      </c>
      <c r="O96" s="13"/>
    </row>
    <row r="97" spans="1:15">
      <c r="A97" s="431">
        <f t="shared" si="35"/>
        <v>0</v>
      </c>
      <c r="C97" s="399"/>
      <c r="D97" s="377" t="str">
        <f t="shared" si="45"/>
        <v xml:space="preserve"> </v>
      </c>
      <c r="E97" s="397"/>
      <c r="F97" s="396">
        <f t="shared" si="46"/>
        <v>0</v>
      </c>
      <c r="G97" s="73"/>
      <c r="I97" s="12"/>
      <c r="J97" s="399"/>
      <c r="K97" s="377"/>
      <c r="L97" s="397"/>
      <c r="M97" s="398">
        <v>0</v>
      </c>
      <c r="N97" s="404">
        <f t="shared" si="47"/>
        <v>0</v>
      </c>
      <c r="O97" s="13"/>
    </row>
    <row r="98" spans="1:15">
      <c r="A98" s="431">
        <f t="shared" si="35"/>
        <v>0</v>
      </c>
      <c r="C98" s="399"/>
      <c r="D98" s="377" t="str">
        <f t="shared" si="45"/>
        <v xml:space="preserve"> </v>
      </c>
      <c r="E98" s="397"/>
      <c r="F98" s="396">
        <f t="shared" si="46"/>
        <v>0</v>
      </c>
      <c r="G98" s="73"/>
      <c r="I98" s="12"/>
      <c r="J98" s="399"/>
      <c r="K98" s="377"/>
      <c r="L98" s="397"/>
      <c r="M98" s="398">
        <v>0</v>
      </c>
      <c r="N98" s="404">
        <f t="shared" si="47"/>
        <v>0</v>
      </c>
      <c r="O98" s="13"/>
    </row>
    <row r="99" spans="1:15" ht="14.25" thickBot="1">
      <c r="A99" s="431">
        <f t="shared" si="35"/>
        <v>0</v>
      </c>
      <c r="C99" s="426" t="s">
        <v>692</v>
      </c>
      <c r="D99" s="401" t="str">
        <f t="shared" si="45"/>
        <v xml:space="preserve"> </v>
      </c>
      <c r="E99" s="402"/>
      <c r="F99" s="416">
        <f t="shared" si="46"/>
        <v>0</v>
      </c>
      <c r="G99" s="73"/>
      <c r="I99" s="12"/>
      <c r="J99" s="400" t="s">
        <v>692</v>
      </c>
      <c r="K99" s="401"/>
      <c r="L99" s="402"/>
      <c r="M99" s="403">
        <f>SUM(M95:M98)</f>
        <v>0</v>
      </c>
      <c r="N99" s="405">
        <f>SUM(N95:N98)</f>
        <v>0</v>
      </c>
      <c r="O99" s="13"/>
    </row>
    <row r="100" spans="1:15" ht="16.5">
      <c r="A100" s="431">
        <f t="shared" si="35"/>
        <v>0</v>
      </c>
      <c r="C100" s="418" t="str">
        <f>J100</f>
        <v>Alternate 16:</v>
      </c>
      <c r="D100" s="419"/>
      <c r="E100" s="419"/>
      <c r="F100" s="429">
        <f>F105</f>
        <v>0</v>
      </c>
      <c r="G100" s="73"/>
      <c r="I100" s="12"/>
      <c r="J100" s="443" t="s">
        <v>704</v>
      </c>
      <c r="K100" s="444"/>
      <c r="L100" s="444"/>
      <c r="M100" s="444"/>
      <c r="N100" s="479"/>
      <c r="O100" s="13"/>
    </row>
    <row r="101" spans="1:15">
      <c r="A101" s="431">
        <f t="shared" si="35"/>
        <v>0</v>
      </c>
      <c r="C101" s="399"/>
      <c r="D101" s="377" t="str">
        <f>IF(K101=0," ",K101)</f>
        <v xml:space="preserve"> </v>
      </c>
      <c r="E101" s="397"/>
      <c r="F101" s="396">
        <f>N101</f>
        <v>0</v>
      </c>
      <c r="G101" s="73"/>
      <c r="I101" s="12"/>
      <c r="J101" s="399"/>
      <c r="K101" s="377"/>
      <c r="L101" s="397"/>
      <c r="M101" s="398">
        <v>0</v>
      </c>
      <c r="N101" s="404">
        <f>M101*1+M101*$N$4</f>
        <v>0</v>
      </c>
      <c r="O101" s="13"/>
    </row>
    <row r="102" spans="1:15">
      <c r="A102" s="431">
        <f t="shared" si="35"/>
        <v>0</v>
      </c>
      <c r="C102" s="399"/>
      <c r="D102" s="377" t="str">
        <f t="shared" ref="D102:D105" si="48">IF(K102=0," ",K102)</f>
        <v xml:space="preserve"> </v>
      </c>
      <c r="E102" s="397"/>
      <c r="F102" s="396">
        <f t="shared" ref="F102:F105" si="49">N102</f>
        <v>0</v>
      </c>
      <c r="G102" s="73"/>
      <c r="I102" s="12"/>
      <c r="J102" s="399"/>
      <c r="K102" s="377"/>
      <c r="L102" s="397"/>
      <c r="M102" s="398">
        <v>0</v>
      </c>
      <c r="N102" s="404">
        <f t="shared" ref="N102:N104" si="50">M102*1+M102*$N$4</f>
        <v>0</v>
      </c>
      <c r="O102" s="13"/>
    </row>
    <row r="103" spans="1:15">
      <c r="A103" s="431">
        <f t="shared" si="35"/>
        <v>0</v>
      </c>
      <c r="C103" s="399"/>
      <c r="D103" s="377" t="str">
        <f t="shared" si="48"/>
        <v xml:space="preserve"> </v>
      </c>
      <c r="E103" s="397"/>
      <c r="F103" s="396">
        <f t="shared" si="49"/>
        <v>0</v>
      </c>
      <c r="G103" s="73"/>
      <c r="I103" s="12"/>
      <c r="J103" s="399"/>
      <c r="K103" s="377"/>
      <c r="L103" s="397"/>
      <c r="M103" s="398">
        <v>0</v>
      </c>
      <c r="N103" s="404">
        <f t="shared" si="50"/>
        <v>0</v>
      </c>
      <c r="O103" s="13"/>
    </row>
    <row r="104" spans="1:15">
      <c r="A104" s="431">
        <f t="shared" si="35"/>
        <v>0</v>
      </c>
      <c r="C104" s="399"/>
      <c r="D104" s="377" t="str">
        <f t="shared" si="48"/>
        <v xml:space="preserve"> </v>
      </c>
      <c r="E104" s="397"/>
      <c r="F104" s="396">
        <f t="shared" si="49"/>
        <v>0</v>
      </c>
      <c r="G104" s="73"/>
      <c r="I104" s="12"/>
      <c r="J104" s="399"/>
      <c r="K104" s="377"/>
      <c r="L104" s="397"/>
      <c r="M104" s="398">
        <v>0</v>
      </c>
      <c r="N104" s="404">
        <f t="shared" si="50"/>
        <v>0</v>
      </c>
      <c r="O104" s="13"/>
    </row>
    <row r="105" spans="1:15" ht="14.25" thickBot="1">
      <c r="A105" s="431">
        <f t="shared" si="35"/>
        <v>0</v>
      </c>
      <c r="C105" s="426" t="s">
        <v>692</v>
      </c>
      <c r="D105" s="401" t="str">
        <f t="shared" si="48"/>
        <v xml:space="preserve"> </v>
      </c>
      <c r="E105" s="402"/>
      <c r="F105" s="416">
        <f t="shared" si="49"/>
        <v>0</v>
      </c>
      <c r="G105" s="73"/>
      <c r="I105" s="12"/>
      <c r="J105" s="400" t="s">
        <v>692</v>
      </c>
      <c r="K105" s="401"/>
      <c r="L105" s="402"/>
      <c r="M105" s="403">
        <f>SUM(M101:M104)</f>
        <v>0</v>
      </c>
      <c r="N105" s="405">
        <f>SUM(N101:N104)</f>
        <v>0</v>
      </c>
      <c r="O105" s="13"/>
    </row>
    <row r="106" spans="1:15" ht="16.5">
      <c r="A106" s="431">
        <f t="shared" ref="A106:A137" si="51">IF(F106&lt;&gt;0,1,0)</f>
        <v>0</v>
      </c>
      <c r="C106" s="418" t="str">
        <f>J106</f>
        <v>Alternate 17:</v>
      </c>
      <c r="D106" s="419"/>
      <c r="E106" s="419"/>
      <c r="F106" s="429">
        <f>F111</f>
        <v>0</v>
      </c>
      <c r="G106" s="73"/>
      <c r="I106" s="12"/>
      <c r="J106" s="443" t="s">
        <v>705</v>
      </c>
      <c r="K106" s="444"/>
      <c r="L106" s="444"/>
      <c r="M106" s="444"/>
      <c r="N106" s="479"/>
      <c r="O106" s="13"/>
    </row>
    <row r="107" spans="1:15">
      <c r="A107" s="431">
        <f t="shared" si="51"/>
        <v>0</v>
      </c>
      <c r="C107" s="399"/>
      <c r="D107" s="377" t="str">
        <f>IF(K107=0," ",K107)</f>
        <v xml:space="preserve"> </v>
      </c>
      <c r="E107" s="397"/>
      <c r="F107" s="396">
        <f>N107</f>
        <v>0</v>
      </c>
      <c r="G107" s="73"/>
      <c r="I107" s="12"/>
      <c r="J107" s="399"/>
      <c r="K107" s="377"/>
      <c r="L107" s="397"/>
      <c r="M107" s="398">
        <v>0</v>
      </c>
      <c r="N107" s="404">
        <f>M107*1+M107*$N$4</f>
        <v>0</v>
      </c>
      <c r="O107" s="13"/>
    </row>
    <row r="108" spans="1:15">
      <c r="A108" s="431">
        <f t="shared" si="51"/>
        <v>0</v>
      </c>
      <c r="C108" s="399"/>
      <c r="D108" s="377" t="str">
        <f t="shared" ref="D108:D111" si="52">IF(K108=0," ",K108)</f>
        <v xml:space="preserve"> </v>
      </c>
      <c r="E108" s="397"/>
      <c r="F108" s="396">
        <f t="shared" ref="F108:F111" si="53">N108</f>
        <v>0</v>
      </c>
      <c r="G108" s="73"/>
      <c r="I108" s="12"/>
      <c r="J108" s="399"/>
      <c r="K108" s="377"/>
      <c r="L108" s="397"/>
      <c r="M108" s="398">
        <v>0</v>
      </c>
      <c r="N108" s="404">
        <f t="shared" ref="N108:N110" si="54">M108*1+M108*$N$4</f>
        <v>0</v>
      </c>
      <c r="O108" s="13"/>
    </row>
    <row r="109" spans="1:15">
      <c r="A109" s="431">
        <f t="shared" si="51"/>
        <v>0</v>
      </c>
      <c r="C109" s="399"/>
      <c r="D109" s="377" t="str">
        <f t="shared" si="52"/>
        <v xml:space="preserve"> </v>
      </c>
      <c r="E109" s="397"/>
      <c r="F109" s="396">
        <f t="shared" si="53"/>
        <v>0</v>
      </c>
      <c r="G109" s="73"/>
      <c r="I109" s="12"/>
      <c r="J109" s="399"/>
      <c r="K109" s="377"/>
      <c r="L109" s="397"/>
      <c r="M109" s="398">
        <v>0</v>
      </c>
      <c r="N109" s="404">
        <f t="shared" si="54"/>
        <v>0</v>
      </c>
      <c r="O109" s="13"/>
    </row>
    <row r="110" spans="1:15">
      <c r="A110" s="431">
        <f t="shared" si="51"/>
        <v>0</v>
      </c>
      <c r="C110" s="399"/>
      <c r="D110" s="377" t="str">
        <f t="shared" si="52"/>
        <v xml:space="preserve"> </v>
      </c>
      <c r="E110" s="397"/>
      <c r="F110" s="396">
        <f t="shared" si="53"/>
        <v>0</v>
      </c>
      <c r="G110" s="73"/>
      <c r="I110" s="12"/>
      <c r="J110" s="399"/>
      <c r="K110" s="377"/>
      <c r="L110" s="397"/>
      <c r="M110" s="398">
        <v>0</v>
      </c>
      <c r="N110" s="404">
        <f t="shared" si="54"/>
        <v>0</v>
      </c>
      <c r="O110" s="13"/>
    </row>
    <row r="111" spans="1:15" ht="14.25" thickBot="1">
      <c r="A111" s="431">
        <f t="shared" si="51"/>
        <v>0</v>
      </c>
      <c r="C111" s="426" t="s">
        <v>692</v>
      </c>
      <c r="D111" s="401" t="str">
        <f t="shared" si="52"/>
        <v xml:space="preserve"> </v>
      </c>
      <c r="E111" s="402"/>
      <c r="F111" s="416">
        <f t="shared" si="53"/>
        <v>0</v>
      </c>
      <c r="G111" s="73"/>
      <c r="I111" s="12"/>
      <c r="J111" s="400" t="s">
        <v>692</v>
      </c>
      <c r="K111" s="401"/>
      <c r="L111" s="402"/>
      <c r="M111" s="403">
        <f>SUM(M107:M110)</f>
        <v>0</v>
      </c>
      <c r="N111" s="405">
        <f>SUM(N107:N110)</f>
        <v>0</v>
      </c>
      <c r="O111" s="13"/>
    </row>
    <row r="112" spans="1:15" ht="16.5">
      <c r="A112" s="431">
        <f t="shared" si="51"/>
        <v>0</v>
      </c>
      <c r="C112" s="418" t="str">
        <f>J112</f>
        <v>Alternate 18:</v>
      </c>
      <c r="D112" s="419"/>
      <c r="E112" s="419"/>
      <c r="F112" s="429">
        <f>F117</f>
        <v>0</v>
      </c>
      <c r="G112" s="73"/>
      <c r="I112" s="12"/>
      <c r="J112" s="443" t="s">
        <v>706</v>
      </c>
      <c r="K112" s="444"/>
      <c r="L112" s="444"/>
      <c r="M112" s="444"/>
      <c r="N112" s="479"/>
      <c r="O112" s="13"/>
    </row>
    <row r="113" spans="1:15">
      <c r="A113" s="431">
        <f t="shared" si="51"/>
        <v>0</v>
      </c>
      <c r="C113" s="399"/>
      <c r="D113" s="377" t="str">
        <f>IF(K113=0," ",K113)</f>
        <v xml:space="preserve"> </v>
      </c>
      <c r="E113" s="397"/>
      <c r="F113" s="396">
        <f>N113</f>
        <v>0</v>
      </c>
      <c r="G113" s="73"/>
      <c r="I113" s="12"/>
      <c r="J113" s="399"/>
      <c r="K113" s="377"/>
      <c r="L113" s="397"/>
      <c r="M113" s="398">
        <v>0</v>
      </c>
      <c r="N113" s="404">
        <f>M113*1+M113*$N$4</f>
        <v>0</v>
      </c>
      <c r="O113" s="13"/>
    </row>
    <row r="114" spans="1:15" ht="16.5">
      <c r="A114" s="431">
        <f t="shared" si="51"/>
        <v>0</v>
      </c>
      <c r="C114" s="399"/>
      <c r="D114" s="377" t="str">
        <f t="shared" ref="D114:D117" si="55">IF(K114=0," ",K114)</f>
        <v xml:space="preserve"> </v>
      </c>
      <c r="E114" s="397"/>
      <c r="F114" s="396">
        <f t="shared" ref="F114:F117" si="56">N114</f>
        <v>0</v>
      </c>
      <c r="G114" s="73"/>
      <c r="I114" s="12"/>
      <c r="J114" s="399"/>
      <c r="K114" s="377"/>
      <c r="L114" s="397"/>
      <c r="M114" s="398">
        <v>0</v>
      </c>
      <c r="N114" s="404">
        <f t="shared" ref="N114:N116" si="57">M114*1+M114*$N$4</f>
        <v>0</v>
      </c>
      <c r="O114" s="102"/>
    </row>
    <row r="115" spans="1:15" ht="16.5">
      <c r="A115" s="431">
        <f t="shared" si="51"/>
        <v>0</v>
      </c>
      <c r="C115" s="399"/>
      <c r="D115" s="377" t="str">
        <f t="shared" si="55"/>
        <v xml:space="preserve"> </v>
      </c>
      <c r="E115" s="397"/>
      <c r="F115" s="396">
        <f t="shared" si="56"/>
        <v>0</v>
      </c>
      <c r="G115" s="73"/>
      <c r="I115" s="12"/>
      <c r="J115" s="399"/>
      <c r="K115" s="377"/>
      <c r="L115" s="397"/>
      <c r="M115" s="398">
        <v>0</v>
      </c>
      <c r="N115" s="404">
        <f t="shared" si="57"/>
        <v>0</v>
      </c>
      <c r="O115" s="411"/>
    </row>
    <row r="116" spans="1:15">
      <c r="A116" s="431">
        <f t="shared" si="51"/>
        <v>0</v>
      </c>
      <c r="C116" s="399"/>
      <c r="D116" s="377" t="str">
        <f t="shared" si="55"/>
        <v xml:space="preserve"> </v>
      </c>
      <c r="E116" s="397"/>
      <c r="F116" s="396">
        <f t="shared" si="56"/>
        <v>0</v>
      </c>
      <c r="G116" s="73"/>
      <c r="I116" s="12"/>
      <c r="J116" s="399"/>
      <c r="K116" s="377"/>
      <c r="L116" s="397"/>
      <c r="M116" s="398">
        <v>0</v>
      </c>
      <c r="N116" s="404">
        <f t="shared" si="57"/>
        <v>0</v>
      </c>
      <c r="O116" s="412"/>
    </row>
    <row r="117" spans="1:15" ht="14.25" thickBot="1">
      <c r="A117" s="431">
        <f t="shared" si="51"/>
        <v>0</v>
      </c>
      <c r="C117" s="426" t="s">
        <v>692</v>
      </c>
      <c r="D117" s="401" t="str">
        <f t="shared" si="55"/>
        <v xml:space="preserve"> </v>
      </c>
      <c r="E117" s="402"/>
      <c r="F117" s="416">
        <f t="shared" si="56"/>
        <v>0</v>
      </c>
      <c r="G117" s="73"/>
      <c r="I117" s="12"/>
      <c r="J117" s="400" t="s">
        <v>692</v>
      </c>
      <c r="K117" s="401"/>
      <c r="L117" s="402"/>
      <c r="M117" s="403">
        <f>SUM(M113:M116)</f>
        <v>0</v>
      </c>
      <c r="N117" s="405">
        <f>SUM(N113:N116)</f>
        <v>0</v>
      </c>
      <c r="O117" s="412"/>
    </row>
    <row r="118" spans="1:15" ht="16.5">
      <c r="A118" s="431">
        <f t="shared" si="51"/>
        <v>0</v>
      </c>
      <c r="C118" s="418" t="str">
        <f>J118</f>
        <v>Alternate 19:</v>
      </c>
      <c r="D118" s="419"/>
      <c r="E118" s="419"/>
      <c r="F118" s="429">
        <f>F123</f>
        <v>0</v>
      </c>
      <c r="G118" s="73"/>
      <c r="I118" s="12"/>
      <c r="J118" s="443" t="s">
        <v>707</v>
      </c>
      <c r="K118" s="444"/>
      <c r="L118" s="444"/>
      <c r="M118" s="444"/>
      <c r="N118" s="479"/>
      <c r="O118" s="412"/>
    </row>
    <row r="119" spans="1:15">
      <c r="A119" s="431">
        <f t="shared" si="51"/>
        <v>0</v>
      </c>
      <c r="C119" s="399"/>
      <c r="D119" s="377" t="str">
        <f>IF(K119=0," ",K119)</f>
        <v xml:space="preserve"> </v>
      </c>
      <c r="E119" s="397"/>
      <c r="F119" s="396">
        <f>N119</f>
        <v>0</v>
      </c>
      <c r="G119" s="73"/>
      <c r="I119" s="12"/>
      <c r="J119" s="399"/>
      <c r="K119" s="377"/>
      <c r="L119" s="397"/>
      <c r="M119" s="398">
        <v>0</v>
      </c>
      <c r="N119" s="404">
        <f>M119*1+M119*$N$4</f>
        <v>0</v>
      </c>
      <c r="O119" s="412"/>
    </row>
    <row r="120" spans="1:15">
      <c r="A120" s="431">
        <f t="shared" si="51"/>
        <v>0</v>
      </c>
      <c r="C120" s="399"/>
      <c r="D120" s="377" t="str">
        <f t="shared" ref="D120:D123" si="58">IF(K120=0," ",K120)</f>
        <v xml:space="preserve"> </v>
      </c>
      <c r="E120" s="397"/>
      <c r="F120" s="396">
        <f t="shared" ref="F120:F123" si="59">N120</f>
        <v>0</v>
      </c>
      <c r="G120" s="73"/>
      <c r="I120" s="12"/>
      <c r="J120" s="399"/>
      <c r="K120" s="377"/>
      <c r="L120" s="397"/>
      <c r="M120" s="398">
        <v>0</v>
      </c>
      <c r="N120" s="404">
        <f t="shared" ref="N120:N122" si="60">M120*1+M120*$N$4</f>
        <v>0</v>
      </c>
      <c r="O120" s="412"/>
    </row>
    <row r="121" spans="1:15">
      <c r="A121" s="431">
        <f t="shared" si="51"/>
        <v>0</v>
      </c>
      <c r="C121" s="399"/>
      <c r="D121" s="377" t="str">
        <f t="shared" si="58"/>
        <v xml:space="preserve"> </v>
      </c>
      <c r="E121" s="397"/>
      <c r="F121" s="396">
        <f t="shared" si="59"/>
        <v>0</v>
      </c>
      <c r="G121" s="73"/>
      <c r="I121" s="12"/>
      <c r="J121" s="399"/>
      <c r="K121" s="377"/>
      <c r="L121" s="397"/>
      <c r="M121" s="398">
        <v>0</v>
      </c>
      <c r="N121" s="404">
        <f t="shared" si="60"/>
        <v>0</v>
      </c>
      <c r="O121" s="13"/>
    </row>
    <row r="122" spans="1:15">
      <c r="A122" s="431">
        <f t="shared" si="51"/>
        <v>0</v>
      </c>
      <c r="C122" s="399"/>
      <c r="D122" s="377" t="str">
        <f t="shared" si="58"/>
        <v xml:space="preserve"> </v>
      </c>
      <c r="E122" s="397"/>
      <c r="F122" s="396">
        <f t="shared" si="59"/>
        <v>0</v>
      </c>
      <c r="G122" s="73"/>
      <c r="I122" s="12"/>
      <c r="J122" s="399"/>
      <c r="K122" s="377"/>
      <c r="L122" s="397"/>
      <c r="M122" s="398">
        <v>0</v>
      </c>
      <c r="N122" s="404">
        <f t="shared" si="60"/>
        <v>0</v>
      </c>
      <c r="O122" s="13"/>
    </row>
    <row r="123" spans="1:15" ht="14.25" thickBot="1">
      <c r="A123" s="431">
        <f t="shared" si="51"/>
        <v>0</v>
      </c>
      <c r="C123" s="426" t="s">
        <v>692</v>
      </c>
      <c r="D123" s="401" t="str">
        <f t="shared" si="58"/>
        <v xml:space="preserve"> </v>
      </c>
      <c r="E123" s="402"/>
      <c r="F123" s="416">
        <f t="shared" si="59"/>
        <v>0</v>
      </c>
      <c r="G123" s="73"/>
      <c r="I123" s="12"/>
      <c r="J123" s="400" t="s">
        <v>692</v>
      </c>
      <c r="K123" s="401"/>
      <c r="L123" s="402"/>
      <c r="M123" s="403">
        <f>SUM(M119:M122)</f>
        <v>0</v>
      </c>
      <c r="N123" s="405">
        <f>SUM(N119:N122)</f>
        <v>0</v>
      </c>
      <c r="O123" s="13"/>
    </row>
    <row r="124" spans="1:15" ht="16.5">
      <c r="A124" s="431">
        <f t="shared" si="51"/>
        <v>0</v>
      </c>
      <c r="C124" s="418" t="str">
        <f>J124</f>
        <v>Alternate 20:</v>
      </c>
      <c r="D124" s="419"/>
      <c r="E124" s="419"/>
      <c r="F124" s="429">
        <f>F129</f>
        <v>0</v>
      </c>
      <c r="G124" s="73"/>
      <c r="I124" s="12"/>
      <c r="J124" s="443" t="s">
        <v>708</v>
      </c>
      <c r="K124" s="444"/>
      <c r="L124" s="444"/>
      <c r="M124" s="444"/>
      <c r="N124" s="479"/>
      <c r="O124" s="13"/>
    </row>
    <row r="125" spans="1:15">
      <c r="A125" s="431">
        <f t="shared" si="51"/>
        <v>0</v>
      </c>
      <c r="C125" s="399"/>
      <c r="D125" s="377" t="str">
        <f>IF(K125=0," ",K125)</f>
        <v xml:space="preserve"> </v>
      </c>
      <c r="E125" s="397"/>
      <c r="F125" s="396">
        <f>N125</f>
        <v>0</v>
      </c>
      <c r="G125" s="73"/>
      <c r="I125" s="12"/>
      <c r="J125" s="399"/>
      <c r="K125" s="377"/>
      <c r="L125" s="397"/>
      <c r="M125" s="398">
        <v>0</v>
      </c>
      <c r="N125" s="404">
        <f>M125*1+M125*$N$4</f>
        <v>0</v>
      </c>
      <c r="O125" s="13"/>
    </row>
    <row r="126" spans="1:15">
      <c r="A126" s="431">
        <f t="shared" si="51"/>
        <v>0</v>
      </c>
      <c r="C126" s="399"/>
      <c r="D126" s="377" t="str">
        <f t="shared" ref="D126:D129" si="61">IF(K126=0," ",K126)</f>
        <v xml:space="preserve"> </v>
      </c>
      <c r="E126" s="397"/>
      <c r="F126" s="396">
        <f t="shared" ref="F126:F129" si="62">N126</f>
        <v>0</v>
      </c>
      <c r="G126" s="73"/>
      <c r="I126" s="12"/>
      <c r="J126" s="399"/>
      <c r="K126" s="377"/>
      <c r="L126" s="397"/>
      <c r="M126" s="398">
        <v>0</v>
      </c>
      <c r="N126" s="404">
        <f t="shared" ref="N126:N128" si="63">M126*1+M126*$N$4</f>
        <v>0</v>
      </c>
      <c r="O126" s="13"/>
    </row>
    <row r="127" spans="1:15">
      <c r="A127" s="431">
        <f t="shared" si="51"/>
        <v>0</v>
      </c>
      <c r="C127" s="399"/>
      <c r="D127" s="377" t="str">
        <f t="shared" si="61"/>
        <v xml:space="preserve"> </v>
      </c>
      <c r="E127" s="397"/>
      <c r="F127" s="396">
        <f t="shared" si="62"/>
        <v>0</v>
      </c>
      <c r="G127" s="73"/>
      <c r="I127" s="12"/>
      <c r="J127" s="399"/>
      <c r="K127" s="377"/>
      <c r="L127" s="397"/>
      <c r="M127" s="398">
        <v>0</v>
      </c>
      <c r="N127" s="404">
        <f t="shared" si="63"/>
        <v>0</v>
      </c>
      <c r="O127" s="13"/>
    </row>
    <row r="128" spans="1:15">
      <c r="A128" s="431">
        <f t="shared" si="51"/>
        <v>0</v>
      </c>
      <c r="C128" s="399"/>
      <c r="D128" s="377" t="str">
        <f t="shared" si="61"/>
        <v xml:space="preserve"> </v>
      </c>
      <c r="E128" s="397"/>
      <c r="F128" s="396">
        <f t="shared" si="62"/>
        <v>0</v>
      </c>
      <c r="G128" s="73"/>
      <c r="I128" s="12"/>
      <c r="J128" s="399"/>
      <c r="K128" s="377"/>
      <c r="L128" s="397"/>
      <c r="M128" s="398">
        <v>0</v>
      </c>
      <c r="N128" s="404">
        <f t="shared" si="63"/>
        <v>0</v>
      </c>
      <c r="O128" s="13"/>
    </row>
    <row r="129" spans="1:15" ht="14.25" thickBot="1">
      <c r="A129" s="431">
        <f t="shared" si="51"/>
        <v>0</v>
      </c>
      <c r="C129" s="400" t="s">
        <v>692</v>
      </c>
      <c r="D129" s="401" t="str">
        <f t="shared" si="61"/>
        <v xml:space="preserve"> </v>
      </c>
      <c r="E129" s="402"/>
      <c r="F129" s="416">
        <f t="shared" si="62"/>
        <v>0</v>
      </c>
      <c r="G129" s="73"/>
      <c r="I129" s="12"/>
      <c r="J129" s="400" t="s">
        <v>692</v>
      </c>
      <c r="K129" s="401"/>
      <c r="L129" s="402"/>
      <c r="M129" s="403">
        <f>SUM(M125:M128)</f>
        <v>0</v>
      </c>
      <c r="N129" s="405">
        <f>SUM(N125:N128)</f>
        <v>0</v>
      </c>
      <c r="O129" s="13"/>
    </row>
    <row r="130" spans="1:15" ht="16.5">
      <c r="A130" s="431">
        <f t="shared" si="51"/>
        <v>0</v>
      </c>
      <c r="C130" s="418" t="str">
        <f>J130</f>
        <v>Alternate 21:</v>
      </c>
      <c r="D130" s="419"/>
      <c r="E130" s="419"/>
      <c r="F130" s="429">
        <f>F135</f>
        <v>0</v>
      </c>
      <c r="G130" s="73"/>
      <c r="I130" s="12"/>
      <c r="J130" s="443" t="s">
        <v>709</v>
      </c>
      <c r="K130" s="444"/>
      <c r="L130" s="444"/>
      <c r="M130" s="444"/>
      <c r="N130" s="479"/>
      <c r="O130" s="13"/>
    </row>
    <row r="131" spans="1:15">
      <c r="A131" s="431">
        <f t="shared" si="51"/>
        <v>0</v>
      </c>
      <c r="C131" s="399"/>
      <c r="D131" s="377" t="str">
        <f>IF(K131=0," ",K131)</f>
        <v xml:space="preserve"> </v>
      </c>
      <c r="E131" s="397"/>
      <c r="F131" s="396">
        <f>N131</f>
        <v>0</v>
      </c>
      <c r="G131" s="73"/>
      <c r="I131" s="12"/>
      <c r="J131" s="399"/>
      <c r="K131" s="377"/>
      <c r="L131" s="397"/>
      <c r="M131" s="398">
        <v>0</v>
      </c>
      <c r="N131" s="404">
        <f>M131*1+M131*$N$4</f>
        <v>0</v>
      </c>
      <c r="O131" s="13"/>
    </row>
    <row r="132" spans="1:15">
      <c r="A132" s="431">
        <f t="shared" si="51"/>
        <v>0</v>
      </c>
      <c r="C132" s="399"/>
      <c r="D132" s="377" t="str">
        <f t="shared" ref="D132:D135" si="64">IF(K132=0," ",K132)</f>
        <v xml:space="preserve"> </v>
      </c>
      <c r="E132" s="397"/>
      <c r="F132" s="396">
        <f t="shared" ref="F132:F135" si="65">N132</f>
        <v>0</v>
      </c>
      <c r="G132" s="73"/>
      <c r="I132" s="12"/>
      <c r="J132" s="399"/>
      <c r="K132" s="377"/>
      <c r="L132" s="397"/>
      <c r="M132" s="398">
        <v>0</v>
      </c>
      <c r="N132" s="404">
        <f t="shared" ref="N132:N134" si="66">M132*1+M132*$N$4</f>
        <v>0</v>
      </c>
      <c r="O132" s="13"/>
    </row>
    <row r="133" spans="1:15">
      <c r="A133" s="431">
        <f t="shared" si="51"/>
        <v>0</v>
      </c>
      <c r="C133" s="399"/>
      <c r="D133" s="377" t="str">
        <f t="shared" si="64"/>
        <v xml:space="preserve"> </v>
      </c>
      <c r="E133" s="397"/>
      <c r="F133" s="396">
        <f t="shared" si="65"/>
        <v>0</v>
      </c>
      <c r="G133" s="73"/>
      <c r="I133" s="12"/>
      <c r="J133" s="399"/>
      <c r="K133" s="377"/>
      <c r="L133" s="397"/>
      <c r="M133" s="398">
        <v>0</v>
      </c>
      <c r="N133" s="404">
        <f t="shared" si="66"/>
        <v>0</v>
      </c>
      <c r="O133" s="13"/>
    </row>
    <row r="134" spans="1:15">
      <c r="A134" s="431">
        <f t="shared" si="51"/>
        <v>0</v>
      </c>
      <c r="C134" s="399"/>
      <c r="D134" s="377" t="str">
        <f t="shared" si="64"/>
        <v xml:space="preserve"> </v>
      </c>
      <c r="E134" s="397"/>
      <c r="F134" s="396">
        <f t="shared" si="65"/>
        <v>0</v>
      </c>
      <c r="G134" s="73"/>
      <c r="I134" s="12"/>
      <c r="J134" s="399"/>
      <c r="K134" s="377"/>
      <c r="L134" s="397"/>
      <c r="M134" s="398">
        <v>0</v>
      </c>
      <c r="N134" s="404">
        <f t="shared" si="66"/>
        <v>0</v>
      </c>
      <c r="O134" s="13"/>
    </row>
    <row r="135" spans="1:15" ht="14.25" thickBot="1">
      <c r="A135" s="431">
        <f t="shared" si="51"/>
        <v>0</v>
      </c>
      <c r="C135" s="426" t="s">
        <v>692</v>
      </c>
      <c r="D135" s="401" t="str">
        <f t="shared" si="64"/>
        <v xml:space="preserve"> </v>
      </c>
      <c r="E135" s="402"/>
      <c r="F135" s="416">
        <f t="shared" si="65"/>
        <v>0</v>
      </c>
      <c r="G135" s="73"/>
      <c r="I135" s="12"/>
      <c r="J135" s="400" t="s">
        <v>692</v>
      </c>
      <c r="K135" s="401"/>
      <c r="L135" s="402"/>
      <c r="M135" s="403">
        <f>SUM(M131:M134)</f>
        <v>0</v>
      </c>
      <c r="N135" s="405">
        <f>SUM(N131:N134)</f>
        <v>0</v>
      </c>
      <c r="O135" s="13"/>
    </row>
    <row r="136" spans="1:15" ht="16.5">
      <c r="A136" s="431">
        <f t="shared" si="51"/>
        <v>0</v>
      </c>
      <c r="C136" s="418" t="str">
        <f>J136</f>
        <v>Alternate 22:</v>
      </c>
      <c r="D136" s="419"/>
      <c r="E136" s="419"/>
      <c r="F136" s="429">
        <f>F141</f>
        <v>0</v>
      </c>
      <c r="G136" s="73"/>
      <c r="I136" s="12"/>
      <c r="J136" s="443" t="s">
        <v>710</v>
      </c>
      <c r="K136" s="444"/>
      <c r="L136" s="444"/>
      <c r="M136" s="444"/>
      <c r="N136" s="479"/>
      <c r="O136" s="13"/>
    </row>
    <row r="137" spans="1:15">
      <c r="A137" s="431">
        <f t="shared" si="51"/>
        <v>0</v>
      </c>
      <c r="C137" s="399"/>
      <c r="D137" s="377" t="str">
        <f>IF(K137=0," ",K137)</f>
        <v xml:space="preserve"> </v>
      </c>
      <c r="E137" s="397"/>
      <c r="F137" s="396">
        <f>N137</f>
        <v>0</v>
      </c>
      <c r="G137" s="73"/>
      <c r="I137" s="12"/>
      <c r="J137" s="399"/>
      <c r="K137" s="377"/>
      <c r="L137" s="397"/>
      <c r="M137" s="398">
        <v>0</v>
      </c>
      <c r="N137" s="404">
        <f>M137*1+M137*$N$4</f>
        <v>0</v>
      </c>
      <c r="O137" s="13"/>
    </row>
    <row r="138" spans="1:15" ht="16.5">
      <c r="A138" s="431">
        <f t="shared" ref="A138:A165" si="67">IF(F138&lt;&gt;0,1,0)</f>
        <v>0</v>
      </c>
      <c r="C138" s="399"/>
      <c r="D138" s="377" t="str">
        <f t="shared" ref="D138:D141" si="68">IF(K138=0," ",K138)</f>
        <v xml:space="preserve"> </v>
      </c>
      <c r="E138" s="397"/>
      <c r="F138" s="396">
        <f t="shared" ref="F138:F141" si="69">N138</f>
        <v>0</v>
      </c>
      <c r="G138" s="73"/>
      <c r="I138" s="12"/>
      <c r="J138" s="399"/>
      <c r="K138" s="377"/>
      <c r="L138" s="397"/>
      <c r="M138" s="398">
        <v>0</v>
      </c>
      <c r="N138" s="404">
        <f t="shared" ref="N138:N140" si="70">M138*1+M138*$N$4</f>
        <v>0</v>
      </c>
      <c r="O138" s="102"/>
    </row>
    <row r="139" spans="1:15" ht="16.5">
      <c r="A139" s="431">
        <f t="shared" si="67"/>
        <v>0</v>
      </c>
      <c r="C139" s="399"/>
      <c r="D139" s="377" t="str">
        <f t="shared" si="68"/>
        <v xml:space="preserve"> </v>
      </c>
      <c r="E139" s="397"/>
      <c r="F139" s="396">
        <f t="shared" si="69"/>
        <v>0</v>
      </c>
      <c r="G139" s="73"/>
      <c r="I139" s="12"/>
      <c r="J139" s="399"/>
      <c r="K139" s="377"/>
      <c r="L139" s="397"/>
      <c r="M139" s="398">
        <v>0</v>
      </c>
      <c r="N139" s="404">
        <f t="shared" si="70"/>
        <v>0</v>
      </c>
      <c r="O139" s="411"/>
    </row>
    <row r="140" spans="1:15">
      <c r="A140" s="431">
        <f t="shared" si="67"/>
        <v>0</v>
      </c>
      <c r="C140" s="399"/>
      <c r="D140" s="377" t="str">
        <f t="shared" si="68"/>
        <v xml:space="preserve"> </v>
      </c>
      <c r="E140" s="397"/>
      <c r="F140" s="396">
        <f t="shared" si="69"/>
        <v>0</v>
      </c>
      <c r="G140" s="73"/>
      <c r="I140" s="12"/>
      <c r="J140" s="399"/>
      <c r="K140" s="377"/>
      <c r="L140" s="397"/>
      <c r="M140" s="398">
        <v>0</v>
      </c>
      <c r="N140" s="404">
        <f t="shared" si="70"/>
        <v>0</v>
      </c>
      <c r="O140" s="412"/>
    </row>
    <row r="141" spans="1:15" ht="14.25" thickBot="1">
      <c r="A141" s="431">
        <f t="shared" si="67"/>
        <v>0</v>
      </c>
      <c r="C141" s="426" t="s">
        <v>692</v>
      </c>
      <c r="D141" s="401" t="str">
        <f t="shared" si="68"/>
        <v xml:space="preserve"> </v>
      </c>
      <c r="E141" s="402"/>
      <c r="F141" s="416">
        <f t="shared" si="69"/>
        <v>0</v>
      </c>
      <c r="G141" s="73"/>
      <c r="I141" s="12"/>
      <c r="J141" s="400" t="s">
        <v>692</v>
      </c>
      <c r="K141" s="401"/>
      <c r="L141" s="402"/>
      <c r="M141" s="403">
        <f>SUM(M137:M140)</f>
        <v>0</v>
      </c>
      <c r="N141" s="405">
        <f>SUM(N137:N140)</f>
        <v>0</v>
      </c>
      <c r="O141" s="412"/>
    </row>
    <row r="142" spans="1:15" ht="16.5">
      <c r="A142" s="431">
        <f t="shared" si="67"/>
        <v>0</v>
      </c>
      <c r="C142" s="418" t="str">
        <f>J142</f>
        <v>Alternate 23:</v>
      </c>
      <c r="D142" s="419"/>
      <c r="E142" s="419"/>
      <c r="F142" s="429">
        <f>F147</f>
        <v>0</v>
      </c>
      <c r="G142" s="73"/>
      <c r="I142" s="12"/>
      <c r="J142" s="443" t="s">
        <v>711</v>
      </c>
      <c r="K142" s="444"/>
      <c r="L142" s="444"/>
      <c r="M142" s="444"/>
      <c r="N142" s="479"/>
      <c r="O142" s="412"/>
    </row>
    <row r="143" spans="1:15">
      <c r="A143" s="431">
        <f t="shared" si="67"/>
        <v>0</v>
      </c>
      <c r="C143" s="399"/>
      <c r="D143" s="377" t="str">
        <f>IF(K143=0," ",K143)</f>
        <v xml:space="preserve"> </v>
      </c>
      <c r="E143" s="397"/>
      <c r="F143" s="396">
        <f>N143</f>
        <v>0</v>
      </c>
      <c r="G143" s="73"/>
      <c r="I143" s="12"/>
      <c r="J143" s="399"/>
      <c r="K143" s="377"/>
      <c r="L143" s="397"/>
      <c r="M143" s="398">
        <v>0</v>
      </c>
      <c r="N143" s="404">
        <f>M143*1+M143*$N$4</f>
        <v>0</v>
      </c>
      <c r="O143" s="412"/>
    </row>
    <row r="144" spans="1:15">
      <c r="A144" s="431">
        <f t="shared" si="67"/>
        <v>0</v>
      </c>
      <c r="C144" s="399"/>
      <c r="D144" s="377" t="str">
        <f t="shared" ref="D144:D147" si="71">IF(K144=0," ",K144)</f>
        <v xml:space="preserve"> </v>
      </c>
      <c r="E144" s="397"/>
      <c r="F144" s="396">
        <f t="shared" ref="F144:F147" si="72">N144</f>
        <v>0</v>
      </c>
      <c r="G144" s="73"/>
      <c r="I144" s="12"/>
      <c r="J144" s="399"/>
      <c r="K144" s="377"/>
      <c r="L144" s="397"/>
      <c r="M144" s="398">
        <v>0</v>
      </c>
      <c r="N144" s="404">
        <f t="shared" ref="N144:N146" si="73">M144*1+M144*$N$4</f>
        <v>0</v>
      </c>
      <c r="O144" s="412"/>
    </row>
    <row r="145" spans="1:15">
      <c r="A145" s="431">
        <f t="shared" si="67"/>
        <v>0</v>
      </c>
      <c r="C145" s="399"/>
      <c r="D145" s="377" t="str">
        <f t="shared" si="71"/>
        <v xml:space="preserve"> </v>
      </c>
      <c r="E145" s="397"/>
      <c r="F145" s="396">
        <f t="shared" si="72"/>
        <v>0</v>
      </c>
      <c r="G145" s="73"/>
      <c r="I145" s="12"/>
      <c r="J145" s="399"/>
      <c r="K145" s="377"/>
      <c r="L145" s="397"/>
      <c r="M145" s="398">
        <v>0</v>
      </c>
      <c r="N145" s="404">
        <f t="shared" si="73"/>
        <v>0</v>
      </c>
      <c r="O145" s="13"/>
    </row>
    <row r="146" spans="1:15">
      <c r="A146" s="431">
        <f t="shared" si="67"/>
        <v>0</v>
      </c>
      <c r="C146" s="399"/>
      <c r="D146" s="377" t="str">
        <f t="shared" si="71"/>
        <v xml:space="preserve"> </v>
      </c>
      <c r="E146" s="397"/>
      <c r="F146" s="396">
        <f t="shared" si="72"/>
        <v>0</v>
      </c>
      <c r="G146" s="73"/>
      <c r="I146" s="12"/>
      <c r="J146" s="399"/>
      <c r="K146" s="377"/>
      <c r="L146" s="397"/>
      <c r="M146" s="398">
        <v>0</v>
      </c>
      <c r="N146" s="404">
        <f t="shared" si="73"/>
        <v>0</v>
      </c>
      <c r="O146" s="13"/>
    </row>
    <row r="147" spans="1:15" ht="14.25" thickBot="1">
      <c r="A147" s="431">
        <f t="shared" si="67"/>
        <v>0</v>
      </c>
      <c r="C147" s="426" t="s">
        <v>692</v>
      </c>
      <c r="D147" s="401" t="str">
        <f t="shared" si="71"/>
        <v xml:space="preserve"> </v>
      </c>
      <c r="E147" s="402"/>
      <c r="F147" s="416">
        <f t="shared" si="72"/>
        <v>0</v>
      </c>
      <c r="G147" s="73"/>
      <c r="I147" s="12"/>
      <c r="J147" s="400" t="s">
        <v>692</v>
      </c>
      <c r="K147" s="401"/>
      <c r="L147" s="402"/>
      <c r="M147" s="403">
        <f>SUM(M143:M146)</f>
        <v>0</v>
      </c>
      <c r="N147" s="405">
        <f>SUM(N143:N146)</f>
        <v>0</v>
      </c>
      <c r="O147" s="13"/>
    </row>
    <row r="148" spans="1:15" ht="16.5">
      <c r="A148" s="431">
        <f t="shared" si="67"/>
        <v>0</v>
      </c>
      <c r="C148" s="418" t="str">
        <f>J148</f>
        <v>Alternate 24:</v>
      </c>
      <c r="D148" s="419"/>
      <c r="E148" s="419"/>
      <c r="F148" s="429">
        <f>F153</f>
        <v>0</v>
      </c>
      <c r="G148" s="73"/>
      <c r="I148" s="12"/>
      <c r="J148" s="443" t="s">
        <v>712</v>
      </c>
      <c r="K148" s="444"/>
      <c r="L148" s="444"/>
      <c r="M148" s="444"/>
      <c r="N148" s="479"/>
      <c r="O148" s="13"/>
    </row>
    <row r="149" spans="1:15">
      <c r="A149" s="431">
        <f t="shared" si="67"/>
        <v>0</v>
      </c>
      <c r="C149" s="399"/>
      <c r="D149" s="377" t="str">
        <f>IF(K149=0," ",K149)</f>
        <v xml:space="preserve"> </v>
      </c>
      <c r="E149" s="397"/>
      <c r="F149" s="396">
        <f>N149</f>
        <v>0</v>
      </c>
      <c r="G149" s="73"/>
      <c r="I149" s="12"/>
      <c r="J149" s="399"/>
      <c r="K149" s="377"/>
      <c r="L149" s="397"/>
      <c r="M149" s="398">
        <v>0</v>
      </c>
      <c r="N149" s="404">
        <f>M149*1+M149*$N$4</f>
        <v>0</v>
      </c>
      <c r="O149" s="13"/>
    </row>
    <row r="150" spans="1:15">
      <c r="A150" s="431">
        <f t="shared" si="67"/>
        <v>0</v>
      </c>
      <c r="C150" s="399"/>
      <c r="D150" s="377" t="str">
        <f t="shared" ref="D150:D153" si="74">IF(K150=0," ",K150)</f>
        <v xml:space="preserve"> </v>
      </c>
      <c r="E150" s="397"/>
      <c r="F150" s="396">
        <f t="shared" ref="F150:F153" si="75">N150</f>
        <v>0</v>
      </c>
      <c r="G150" s="73"/>
      <c r="I150" s="12"/>
      <c r="J150" s="399"/>
      <c r="K150" s="377"/>
      <c r="L150" s="397"/>
      <c r="M150" s="398">
        <v>0</v>
      </c>
      <c r="N150" s="404">
        <f t="shared" ref="N150:N152" si="76">M150*1+M150*$N$4</f>
        <v>0</v>
      </c>
      <c r="O150" s="13"/>
    </row>
    <row r="151" spans="1:15">
      <c r="A151" s="431">
        <f t="shared" si="67"/>
        <v>0</v>
      </c>
      <c r="C151" s="399"/>
      <c r="D151" s="377" t="str">
        <f t="shared" si="74"/>
        <v xml:space="preserve"> </v>
      </c>
      <c r="E151" s="397"/>
      <c r="F151" s="396">
        <f t="shared" si="75"/>
        <v>0</v>
      </c>
      <c r="G151" s="73"/>
      <c r="I151" s="12"/>
      <c r="J151" s="399"/>
      <c r="K151" s="377"/>
      <c r="L151" s="397"/>
      <c r="M151" s="398">
        <v>0</v>
      </c>
      <c r="N151" s="404">
        <f t="shared" si="76"/>
        <v>0</v>
      </c>
      <c r="O151" s="13"/>
    </row>
    <row r="152" spans="1:15">
      <c r="A152" s="431">
        <f t="shared" si="67"/>
        <v>0</v>
      </c>
      <c r="C152" s="399"/>
      <c r="D152" s="377" t="str">
        <f t="shared" si="74"/>
        <v xml:space="preserve"> </v>
      </c>
      <c r="E152" s="397"/>
      <c r="F152" s="396">
        <f t="shared" si="75"/>
        <v>0</v>
      </c>
      <c r="G152" s="73"/>
      <c r="I152" s="12"/>
      <c r="J152" s="399"/>
      <c r="K152" s="377"/>
      <c r="L152" s="397"/>
      <c r="M152" s="398">
        <v>0</v>
      </c>
      <c r="N152" s="404">
        <f t="shared" si="76"/>
        <v>0</v>
      </c>
      <c r="O152" s="13"/>
    </row>
    <row r="153" spans="1:15" ht="14.25" thickBot="1">
      <c r="A153" s="431">
        <f t="shared" si="67"/>
        <v>0</v>
      </c>
      <c r="C153" s="426" t="s">
        <v>692</v>
      </c>
      <c r="D153" s="401" t="str">
        <f t="shared" si="74"/>
        <v xml:space="preserve"> </v>
      </c>
      <c r="E153" s="402"/>
      <c r="F153" s="416">
        <f t="shared" si="75"/>
        <v>0</v>
      </c>
      <c r="G153" s="73"/>
      <c r="I153" s="12"/>
      <c r="J153" s="400" t="s">
        <v>692</v>
      </c>
      <c r="K153" s="401"/>
      <c r="L153" s="402"/>
      <c r="M153" s="403">
        <f>SUM(M149:M152)</f>
        <v>0</v>
      </c>
      <c r="N153" s="405">
        <f>SUM(N149:N152)</f>
        <v>0</v>
      </c>
      <c r="O153" s="13"/>
    </row>
    <row r="154" spans="1:15" ht="16.5">
      <c r="A154" s="431">
        <f t="shared" si="67"/>
        <v>0</v>
      </c>
      <c r="C154" s="418" t="str">
        <f>J154</f>
        <v>Alternate 25:</v>
      </c>
      <c r="D154" s="419"/>
      <c r="E154" s="419"/>
      <c r="F154" s="429">
        <f>F159</f>
        <v>0</v>
      </c>
      <c r="G154" s="73"/>
      <c r="I154" s="12"/>
      <c r="J154" s="443" t="s">
        <v>713</v>
      </c>
      <c r="K154" s="444"/>
      <c r="L154" s="444"/>
      <c r="M154" s="444"/>
      <c r="N154" s="479"/>
      <c r="O154" s="13"/>
    </row>
    <row r="155" spans="1:15">
      <c r="A155" s="431">
        <f t="shared" si="67"/>
        <v>0</v>
      </c>
      <c r="C155" s="399"/>
      <c r="D155" s="377" t="str">
        <f>IF(K155=0," ",K155)</f>
        <v xml:space="preserve"> </v>
      </c>
      <c r="E155" s="397"/>
      <c r="F155" s="396">
        <f>N155</f>
        <v>0</v>
      </c>
      <c r="G155" s="73"/>
      <c r="I155" s="12"/>
      <c r="J155" s="399"/>
      <c r="K155" s="377"/>
      <c r="L155" s="397"/>
      <c r="M155" s="398">
        <v>0</v>
      </c>
      <c r="N155" s="404">
        <f>M155*1+M155*$N$4</f>
        <v>0</v>
      </c>
      <c r="O155" s="13"/>
    </row>
    <row r="156" spans="1:15">
      <c r="A156" s="431">
        <f t="shared" si="67"/>
        <v>0</v>
      </c>
      <c r="C156" s="399"/>
      <c r="D156" s="377" t="str">
        <f t="shared" ref="D156:D159" si="77">IF(K156=0," ",K156)</f>
        <v xml:space="preserve"> </v>
      </c>
      <c r="E156" s="397"/>
      <c r="F156" s="396">
        <f t="shared" ref="F156:F159" si="78">N156</f>
        <v>0</v>
      </c>
      <c r="G156" s="73"/>
      <c r="I156" s="12"/>
      <c r="J156" s="399"/>
      <c r="K156" s="377"/>
      <c r="L156" s="397"/>
      <c r="M156" s="398">
        <v>0</v>
      </c>
      <c r="N156" s="404">
        <f t="shared" ref="N156:N158" si="79">M156*1+M156*$N$4</f>
        <v>0</v>
      </c>
      <c r="O156" s="13"/>
    </row>
    <row r="157" spans="1:15">
      <c r="A157" s="431">
        <f t="shared" si="67"/>
        <v>0</v>
      </c>
      <c r="C157" s="399"/>
      <c r="D157" s="377" t="str">
        <f t="shared" si="77"/>
        <v xml:space="preserve"> </v>
      </c>
      <c r="E157" s="397"/>
      <c r="F157" s="396">
        <f t="shared" si="78"/>
        <v>0</v>
      </c>
      <c r="G157" s="73"/>
      <c r="I157" s="12"/>
      <c r="J157" s="399"/>
      <c r="K157" s="377"/>
      <c r="L157" s="397"/>
      <c r="M157" s="398">
        <v>0</v>
      </c>
      <c r="N157" s="404">
        <f t="shared" si="79"/>
        <v>0</v>
      </c>
      <c r="O157" s="13"/>
    </row>
    <row r="158" spans="1:15">
      <c r="A158" s="431">
        <f t="shared" si="67"/>
        <v>0</v>
      </c>
      <c r="C158" s="399"/>
      <c r="D158" s="377" t="str">
        <f t="shared" si="77"/>
        <v xml:space="preserve"> </v>
      </c>
      <c r="E158" s="397"/>
      <c r="F158" s="396">
        <f t="shared" si="78"/>
        <v>0</v>
      </c>
      <c r="G158" s="73"/>
      <c r="I158" s="12"/>
      <c r="J158" s="399"/>
      <c r="K158" s="377"/>
      <c r="L158" s="397"/>
      <c r="M158" s="398">
        <v>0</v>
      </c>
      <c r="N158" s="404">
        <f t="shared" si="79"/>
        <v>0</v>
      </c>
      <c r="O158" s="13"/>
    </row>
    <row r="159" spans="1:15" ht="14.25" thickBot="1">
      <c r="A159" s="431">
        <f t="shared" si="67"/>
        <v>0</v>
      </c>
      <c r="C159" s="426" t="s">
        <v>692</v>
      </c>
      <c r="D159" s="401" t="str">
        <f t="shared" si="77"/>
        <v xml:space="preserve"> </v>
      </c>
      <c r="E159" s="402"/>
      <c r="F159" s="416">
        <f t="shared" si="78"/>
        <v>0</v>
      </c>
      <c r="G159" s="73"/>
      <c r="I159" s="12"/>
      <c r="J159" s="400" t="s">
        <v>692</v>
      </c>
      <c r="K159" s="401"/>
      <c r="L159" s="402"/>
      <c r="M159" s="403">
        <f>SUM(M155:M158)</f>
        <v>0</v>
      </c>
      <c r="N159" s="405">
        <f>SUM(N155:N158)</f>
        <v>0</v>
      </c>
      <c r="O159" s="13"/>
    </row>
    <row r="160" spans="1:15" ht="16.5">
      <c r="A160" s="431">
        <f t="shared" si="67"/>
        <v>0</v>
      </c>
      <c r="C160" s="427" t="str">
        <f>J160</f>
        <v>Alternate 26:</v>
      </c>
      <c r="D160" s="428"/>
      <c r="E160" s="428"/>
      <c r="F160" s="430">
        <f>F165</f>
        <v>0</v>
      </c>
      <c r="G160" s="73"/>
      <c r="I160" s="12"/>
      <c r="J160" s="443" t="s">
        <v>714</v>
      </c>
      <c r="K160" s="444"/>
      <c r="L160" s="444"/>
      <c r="M160" s="444"/>
      <c r="N160" s="479"/>
      <c r="O160" s="13"/>
    </row>
    <row r="161" spans="1:15">
      <c r="A161" s="431">
        <f t="shared" si="67"/>
        <v>0</v>
      </c>
      <c r="C161" s="399"/>
      <c r="D161" s="377" t="str">
        <f>IF(K161=0," ",K161)</f>
        <v xml:space="preserve"> </v>
      </c>
      <c r="E161" s="397"/>
      <c r="F161" s="396">
        <f>N161</f>
        <v>0</v>
      </c>
      <c r="G161" s="73"/>
      <c r="I161" s="12"/>
      <c r="J161" s="399"/>
      <c r="K161" s="377"/>
      <c r="L161" s="397"/>
      <c r="M161" s="398">
        <v>0</v>
      </c>
      <c r="N161" s="404">
        <f>M161*1+M161*$N$4</f>
        <v>0</v>
      </c>
      <c r="O161" s="13"/>
    </row>
    <row r="162" spans="1:15">
      <c r="A162" s="431">
        <f t="shared" si="67"/>
        <v>0</v>
      </c>
      <c r="C162" s="399"/>
      <c r="D162" s="377" t="str">
        <f t="shared" ref="D162:D165" si="80">IF(K162=0," ",K162)</f>
        <v xml:space="preserve"> </v>
      </c>
      <c r="E162" s="397"/>
      <c r="F162" s="396">
        <f t="shared" ref="F162:F165" si="81">N162</f>
        <v>0</v>
      </c>
      <c r="G162" s="73"/>
      <c r="I162" s="12"/>
      <c r="J162" s="399"/>
      <c r="K162" s="377"/>
      <c r="L162" s="397"/>
      <c r="M162" s="398">
        <v>0</v>
      </c>
      <c r="N162" s="404">
        <f t="shared" ref="N162:N164" si="82">M162*1+M162*$N$4</f>
        <v>0</v>
      </c>
      <c r="O162" s="13"/>
    </row>
    <row r="163" spans="1:15">
      <c r="A163" s="431">
        <f t="shared" si="67"/>
        <v>0</v>
      </c>
      <c r="C163" s="399"/>
      <c r="D163" s="377" t="str">
        <f t="shared" si="80"/>
        <v xml:space="preserve"> </v>
      </c>
      <c r="E163" s="397"/>
      <c r="F163" s="396">
        <f t="shared" si="81"/>
        <v>0</v>
      </c>
      <c r="G163" s="73"/>
      <c r="I163" s="12"/>
      <c r="J163" s="399"/>
      <c r="K163" s="377"/>
      <c r="L163" s="397"/>
      <c r="M163" s="398">
        <v>0</v>
      </c>
      <c r="N163" s="404">
        <f t="shared" si="82"/>
        <v>0</v>
      </c>
      <c r="O163" s="13"/>
    </row>
    <row r="164" spans="1:15">
      <c r="A164" s="431">
        <f t="shared" si="67"/>
        <v>0</v>
      </c>
      <c r="C164" s="399"/>
      <c r="D164" s="377" t="str">
        <f t="shared" si="80"/>
        <v xml:space="preserve"> </v>
      </c>
      <c r="E164" s="397"/>
      <c r="F164" s="396">
        <f t="shared" si="81"/>
        <v>0</v>
      </c>
      <c r="G164" s="73"/>
      <c r="I164" s="12"/>
      <c r="J164" s="399"/>
      <c r="K164" s="377"/>
      <c r="L164" s="397"/>
      <c r="M164" s="398">
        <v>0</v>
      </c>
      <c r="N164" s="404">
        <f t="shared" si="82"/>
        <v>0</v>
      </c>
      <c r="O164" s="13"/>
    </row>
    <row r="165" spans="1:15" ht="14.25" thickBot="1">
      <c r="A165" s="431">
        <f t="shared" si="67"/>
        <v>0</v>
      </c>
      <c r="C165" s="426" t="s">
        <v>692</v>
      </c>
      <c r="D165" s="401" t="str">
        <f t="shared" si="80"/>
        <v xml:space="preserve"> </v>
      </c>
      <c r="E165" s="402"/>
      <c r="F165" s="416">
        <f t="shared" si="81"/>
        <v>0</v>
      </c>
      <c r="G165" s="73"/>
      <c r="I165" s="12"/>
      <c r="J165" s="400" t="s">
        <v>692</v>
      </c>
      <c r="K165" s="401"/>
      <c r="L165" s="402"/>
      <c r="M165" s="432">
        <f>SUM(M161:M164)</f>
        <v>0</v>
      </c>
      <c r="N165" s="433">
        <f>SUM(N161:N164)</f>
        <v>0</v>
      </c>
      <c r="O165" s="13"/>
    </row>
    <row r="166" spans="1:15" ht="16.5" thickBot="1">
      <c r="C166" s="420"/>
      <c r="D166" s="421"/>
      <c r="E166" s="421" t="s">
        <v>688</v>
      </c>
      <c r="F166" s="422">
        <f>SUM(F165,F159,F153,F147,F141,F135,F129,F123,F117,F111,F105,F99,F93,F87,F81,F75,F69,F63,F57,F51,F45,F39,F33,F27,F21,F15)</f>
        <v>551.1</v>
      </c>
      <c r="G166" s="73"/>
      <c r="I166" s="12"/>
      <c r="J166" s="410" t="s">
        <v>715</v>
      </c>
      <c r="K166" s="409"/>
      <c r="L166" s="409"/>
      <c r="M166" s="434">
        <f>SUM(M165,M159,M153,M147,M141,M135,M129,M123,M117,M111,M105,M99,M93,M87,M81,M75,M69,M63,M57,M51,M45,M39,M33,M27,M21,M15)</f>
        <v>501</v>
      </c>
      <c r="N166" s="435">
        <f>SUM(N165,N159,N153,N147,N141,N135,N129,N123,N117,N111,N105,N99,N93,N87,N81,N75,N69,N63,N57,N51,N45,N39,N33,N27,N21,N15)</f>
        <v>551.1</v>
      </c>
      <c r="O166" s="13"/>
    </row>
    <row r="167" spans="1:15" ht="14.25" thickBot="1">
      <c r="B167" s="38"/>
      <c r="C167" s="39"/>
      <c r="D167" s="39"/>
      <c r="E167" s="39"/>
      <c r="F167" s="39"/>
      <c r="G167" s="40"/>
      <c r="I167" s="38"/>
      <c r="J167" s="39"/>
      <c r="K167" s="39"/>
      <c r="L167" s="39"/>
      <c r="M167" s="39"/>
      <c r="N167" s="39"/>
      <c r="O167" s="40"/>
    </row>
    <row r="169" spans="1:15" ht="14.25" thickBot="1"/>
    <row r="170" spans="1:15" ht="16.5" thickBot="1">
      <c r="M170" s="481" t="s">
        <v>655</v>
      </c>
      <c r="N170" s="482"/>
    </row>
    <row r="171" spans="1:15" ht="16.5" thickBot="1">
      <c r="M171" s="413">
        <f>N166-M166</f>
        <v>50.100000000000023</v>
      </c>
      <c r="N171" s="414">
        <f>(N166/M166)-1</f>
        <v>0.10000000000000009</v>
      </c>
    </row>
  </sheetData>
  <sheetProtection formatCells="0" formatColumns="0" formatRows="0" insertColumns="0" insertRows="0" insertHyperlinks="0" deleteColumns="0" deleteRows="0" sort="0" autoFilter="0" pivotTables="0"/>
  <mergeCells count="28">
    <mergeCell ref="D3:E3"/>
    <mergeCell ref="M170:N170"/>
    <mergeCell ref="J160:N160"/>
    <mergeCell ref="J106:N106"/>
    <mergeCell ref="J112:N112"/>
    <mergeCell ref="J118:N118"/>
    <mergeCell ref="J124:N124"/>
    <mergeCell ref="J52:N52"/>
    <mergeCell ref="J10:N10"/>
    <mergeCell ref="J16:N16"/>
    <mergeCell ref="J130:N130"/>
    <mergeCell ref="J136:N136"/>
    <mergeCell ref="J142:N142"/>
    <mergeCell ref="J148:N148"/>
    <mergeCell ref="J154:N154"/>
    <mergeCell ref="J22:N22"/>
    <mergeCell ref="J28:N28"/>
    <mergeCell ref="J34:N34"/>
    <mergeCell ref="J40:N40"/>
    <mergeCell ref="J46:N46"/>
    <mergeCell ref="J94:N94"/>
    <mergeCell ref="J100:N100"/>
    <mergeCell ref="J58:N58"/>
    <mergeCell ref="J64:N64"/>
    <mergeCell ref="J70:N70"/>
    <mergeCell ref="J76:N76"/>
    <mergeCell ref="J82:N82"/>
    <mergeCell ref="J88:N88"/>
  </mergeCells>
  <pageMargins left="0.2" right="0.2" top="0.25" bottom="0.25" header="0.3" footer="0.3"/>
  <pageSetup scale="78" fitToHeight="0" orientation="landscape" r:id="rId1"/>
  <drawing r:id="rId2"/>
  <tableParts count="2"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540D1-8DF5-4F5C-9BC2-C1FA9DE1224A}">
  <sheetPr codeName="Sheet17">
    <pageSetUpPr autoPageBreaks="0" fitToPage="1"/>
  </sheetPr>
  <dimension ref="B1:S33"/>
  <sheetViews>
    <sheetView showGridLines="0" topLeftCell="AX1" zoomScale="85" zoomScaleNormal="85" workbookViewId="0">
      <selection activeCell="D7" sqref="D7"/>
    </sheetView>
  </sheetViews>
  <sheetFormatPr defaultColWidth="11" defaultRowHeight="13.5"/>
  <cols>
    <col min="1" max="1" width="5.5703125" style="7" customWidth="1"/>
    <col min="2" max="2" width="1.85546875" style="7" customWidth="1"/>
    <col min="3" max="3" width="16.140625" style="7" customWidth="1"/>
    <col min="4" max="4" width="42.85546875" style="7" customWidth="1"/>
    <col min="5" max="5" width="11.42578125" style="7" bestFit="1" customWidth="1"/>
    <col min="6" max="6" width="11.7109375" style="7" bestFit="1" customWidth="1"/>
    <col min="7" max="7" width="10.85546875" style="7" bestFit="1" customWidth="1"/>
    <col min="8" max="8" width="11" style="7" bestFit="1" customWidth="1"/>
    <col min="9" max="9" width="11.42578125" style="7" bestFit="1" customWidth="1"/>
    <col min="10" max="10" width="10.85546875" style="7" bestFit="1" customWidth="1"/>
    <col min="11" max="11" width="3.5703125" style="7" customWidth="1"/>
    <col min="12" max="12" width="11.42578125" style="7" bestFit="1" customWidth="1"/>
    <col min="13" max="13" width="11.7109375" style="7" bestFit="1" customWidth="1"/>
    <col min="14" max="14" width="10.85546875" style="7" bestFit="1" customWidth="1"/>
    <col min="15" max="15" width="11" style="7" bestFit="1" customWidth="1"/>
    <col min="16" max="16" width="11.42578125" style="7" bestFit="1" customWidth="1"/>
    <col min="17" max="17" width="10.85546875" style="7" bestFit="1" customWidth="1"/>
    <col min="18" max="18" width="1.85546875" style="7" customWidth="1"/>
    <col min="19" max="19" width="2.85546875" style="7" customWidth="1"/>
    <col min="20" max="16384" width="11" style="7"/>
  </cols>
  <sheetData>
    <row r="1" spans="2:19" ht="8.4499999999999993" customHeight="1"/>
    <row r="2" spans="2:19" ht="17.25" thickBot="1">
      <c r="C2" s="133" t="str">
        <f>'STEP 1 - PROJECT DATA'!D6&amp; "." &amp; 'STEP 1 - PROJECT DATA'!D7</f>
        <v>E26-123.0</v>
      </c>
      <c r="D2" s="134"/>
      <c r="E2" s="20"/>
      <c r="F2" s="69"/>
      <c r="G2" s="69"/>
      <c r="H2" s="69"/>
      <c r="L2" s="20"/>
      <c r="M2" s="69"/>
      <c r="N2" s="69"/>
      <c r="O2" s="69"/>
      <c r="Q2" s="46"/>
    </row>
    <row r="3" spans="2:19" ht="18.75">
      <c r="B3" s="8"/>
      <c r="C3" s="135" t="str">
        <f>'STEP 1 - PROJECT DATA'!C5</f>
        <v>Project Name</v>
      </c>
      <c r="D3" s="125" t="str">
        <f>'STEP 1 - PROJECT DATA'!D5</f>
        <v>Name</v>
      </c>
      <c r="E3" s="478"/>
      <c r="F3" s="478"/>
      <c r="G3" s="105" t="s">
        <v>716</v>
      </c>
      <c r="H3" s="105"/>
      <c r="I3" s="105"/>
      <c r="J3" s="9"/>
      <c r="K3" s="104"/>
      <c r="L3" s="105"/>
      <c r="M3" s="105"/>
      <c r="N3" s="105"/>
      <c r="O3" s="105"/>
      <c r="P3" s="9"/>
      <c r="Q3" s="71"/>
      <c r="R3" s="11"/>
    </row>
    <row r="4" spans="2:19" ht="18.75">
      <c r="B4" s="12"/>
      <c r="C4" s="121" t="s">
        <v>17</v>
      </c>
      <c r="D4" s="3" t="str">
        <f>'STEP 1 - PROJECT DATA'!D8</f>
        <v>1234 Main St</v>
      </c>
      <c r="E4" s="106"/>
      <c r="F4" s="107"/>
      <c r="K4" s="108"/>
      <c r="Q4" s="46"/>
      <c r="R4" s="13"/>
    </row>
    <row r="5" spans="2:19" ht="18.75">
      <c r="B5" s="12"/>
      <c r="C5" s="121"/>
      <c r="D5" s="3" t="str">
        <f>'STEP 1 - PROJECT DATA'!D9</f>
        <v>Minneapolis, MN</v>
      </c>
      <c r="E5" s="106" t="s">
        <v>717</v>
      </c>
      <c r="F5" s="107" t="s">
        <v>718</v>
      </c>
      <c r="K5" s="108"/>
      <c r="Q5" s="96"/>
      <c r="R5" s="72"/>
    </row>
    <row r="6" spans="2:19" ht="16.5">
      <c r="B6" s="12"/>
      <c r="C6" s="121" t="str">
        <f>'STEP 1 - PROJECT DATA'!C13</f>
        <v>Architect</v>
      </c>
      <c r="D6" s="3" t="str">
        <f>'STEP 1 - PROJECT DATA'!D13</f>
        <v>TBD</v>
      </c>
      <c r="K6" s="108"/>
      <c r="Q6" s="98"/>
      <c r="R6" s="73"/>
    </row>
    <row r="7" spans="2:19" ht="17.25" thickBot="1">
      <c r="B7" s="12"/>
      <c r="C7" s="121" t="str">
        <f>'STEP 1 - PROJECT DATA'!C14</f>
        <v>Plan Set</v>
      </c>
      <c r="D7" s="3" t="str">
        <f>'STEP 1 - PROJECT DATA'!D14</f>
        <v>TBD</v>
      </c>
      <c r="E7" s="44"/>
      <c r="K7" s="108"/>
      <c r="L7" s="44"/>
      <c r="Q7" s="98"/>
      <c r="R7" s="73"/>
    </row>
    <row r="8" spans="2:19" ht="15.75" thickBot="1">
      <c r="B8" s="12"/>
      <c r="C8" s="43"/>
      <c r="E8" s="456" t="s">
        <v>719</v>
      </c>
      <c r="F8" s="457"/>
      <c r="G8" s="457"/>
      <c r="H8" s="457"/>
      <c r="I8" s="457"/>
      <c r="J8" s="458"/>
      <c r="K8" s="108"/>
      <c r="L8" s="456" t="s">
        <v>720</v>
      </c>
      <c r="M8" s="457"/>
      <c r="N8" s="457"/>
      <c r="O8" s="457"/>
      <c r="P8" s="457"/>
      <c r="Q8" s="458"/>
      <c r="R8" s="73"/>
    </row>
    <row r="9" spans="2:19" ht="16.5">
      <c r="B9" s="12"/>
      <c r="C9" s="175"/>
      <c r="D9" s="176" t="s">
        <v>91</v>
      </c>
      <c r="E9" s="194" t="s">
        <v>721</v>
      </c>
      <c r="F9" s="195" t="s">
        <v>722</v>
      </c>
      <c r="G9" s="195" t="s">
        <v>723</v>
      </c>
      <c r="H9" s="195" t="s">
        <v>724</v>
      </c>
      <c r="I9" s="196" t="s">
        <v>725</v>
      </c>
      <c r="J9" s="197" t="s">
        <v>726</v>
      </c>
      <c r="K9" s="198"/>
      <c r="L9" s="175" t="s">
        <v>721</v>
      </c>
      <c r="M9" s="193" t="s">
        <v>722</v>
      </c>
      <c r="N9" s="193" t="s">
        <v>723</v>
      </c>
      <c r="O9" s="193" t="s">
        <v>724</v>
      </c>
      <c r="P9" s="176" t="s">
        <v>725</v>
      </c>
      <c r="Q9" s="187" t="s">
        <v>726</v>
      </c>
      <c r="R9" s="73"/>
      <c r="S9" s="74"/>
    </row>
    <row r="10" spans="2:19" ht="17.25" thickBot="1">
      <c r="B10" s="12"/>
      <c r="C10" s="99"/>
      <c r="D10" s="100"/>
      <c r="E10" s="99"/>
      <c r="F10" s="101"/>
      <c r="G10" s="101"/>
      <c r="H10" s="101"/>
      <c r="I10" s="100"/>
      <c r="J10" s="102"/>
      <c r="K10" s="109"/>
      <c r="L10" s="99"/>
      <c r="M10" s="101"/>
      <c r="N10" s="101"/>
      <c r="O10" s="101"/>
      <c r="P10" s="100"/>
      <c r="Q10" s="102"/>
      <c r="R10" s="73"/>
      <c r="S10" s="74"/>
    </row>
    <row r="11" spans="2:19" ht="17.25">
      <c r="B11" s="12"/>
      <c r="C11" s="199" t="s">
        <v>635</v>
      </c>
      <c r="D11" s="200"/>
      <c r="E11" s="201"/>
      <c r="F11" s="178"/>
      <c r="G11" s="178"/>
      <c r="H11" s="178"/>
      <c r="I11" s="179"/>
      <c r="J11" s="202"/>
      <c r="K11" s="108"/>
      <c r="L11" s="201"/>
      <c r="M11" s="178"/>
      <c r="N11" s="178"/>
      <c r="O11" s="178"/>
      <c r="P11" s="179"/>
      <c r="Q11" s="192"/>
      <c r="R11" s="73"/>
    </row>
    <row r="12" spans="2:19">
      <c r="B12" s="12"/>
      <c r="C12" s="53"/>
      <c r="D12" s="54"/>
      <c r="E12" s="110">
        <v>0</v>
      </c>
      <c r="F12" s="111">
        <v>0</v>
      </c>
      <c r="G12" s="111">
        <v>0</v>
      </c>
      <c r="H12" s="111">
        <v>0</v>
      </c>
      <c r="I12" s="111">
        <v>0</v>
      </c>
      <c r="J12" s="112">
        <v>0</v>
      </c>
      <c r="K12" s="108"/>
      <c r="L12" s="110">
        <v>0</v>
      </c>
      <c r="M12" s="111">
        <v>0</v>
      </c>
      <c r="N12" s="111">
        <v>0</v>
      </c>
      <c r="O12" s="111">
        <v>0</v>
      </c>
      <c r="P12" s="111">
        <v>0</v>
      </c>
      <c r="Q12" s="112">
        <v>0</v>
      </c>
      <c r="R12" s="73"/>
    </row>
    <row r="13" spans="2:19">
      <c r="B13" s="12"/>
      <c r="C13" s="53">
        <f>C21+0.1</f>
        <v>50.2</v>
      </c>
      <c r="D13" s="54" t="s">
        <v>727</v>
      </c>
      <c r="E13" s="110">
        <v>0</v>
      </c>
      <c r="F13" s="111">
        <v>0</v>
      </c>
      <c r="G13" s="111">
        <v>0</v>
      </c>
      <c r="H13" s="111">
        <v>0</v>
      </c>
      <c r="I13" s="111">
        <v>0</v>
      </c>
      <c r="J13" s="112">
        <v>0</v>
      </c>
      <c r="K13" s="108"/>
      <c r="L13" s="110">
        <v>0</v>
      </c>
      <c r="M13" s="111">
        <v>0</v>
      </c>
      <c r="N13" s="111">
        <v>0</v>
      </c>
      <c r="O13" s="111">
        <v>0</v>
      </c>
      <c r="P13" s="111">
        <v>0</v>
      </c>
      <c r="Q13" s="112">
        <v>0</v>
      </c>
      <c r="R13" s="73"/>
    </row>
    <row r="14" spans="2:19">
      <c r="B14" s="12"/>
      <c r="C14" s="53">
        <f>C17+0.1</f>
        <v>50.600000000000009</v>
      </c>
      <c r="D14" s="54" t="s">
        <v>728</v>
      </c>
      <c r="E14" s="110">
        <v>0</v>
      </c>
      <c r="F14" s="111">
        <v>0</v>
      </c>
      <c r="G14" s="111">
        <v>0</v>
      </c>
      <c r="H14" s="111">
        <v>0</v>
      </c>
      <c r="I14" s="111">
        <v>0</v>
      </c>
      <c r="J14" s="112">
        <v>0</v>
      </c>
      <c r="K14" s="108"/>
      <c r="L14" s="110">
        <v>0</v>
      </c>
      <c r="M14" s="111">
        <v>0</v>
      </c>
      <c r="N14" s="111">
        <v>0</v>
      </c>
      <c r="O14" s="111">
        <v>0</v>
      </c>
      <c r="P14" s="111">
        <v>0</v>
      </c>
      <c r="Q14" s="112">
        <v>0</v>
      </c>
      <c r="R14" s="73"/>
    </row>
    <row r="15" spans="2:19">
      <c r="B15" s="12"/>
      <c r="C15" s="53">
        <f>C13+0.1</f>
        <v>50.300000000000004</v>
      </c>
      <c r="D15" s="54" t="s">
        <v>729</v>
      </c>
      <c r="E15" s="110">
        <v>0</v>
      </c>
      <c r="F15" s="111">
        <v>0</v>
      </c>
      <c r="G15" s="111">
        <v>0</v>
      </c>
      <c r="H15" s="111">
        <v>0</v>
      </c>
      <c r="I15" s="111">
        <v>0</v>
      </c>
      <c r="J15" s="112">
        <v>0</v>
      </c>
      <c r="K15" s="108"/>
      <c r="L15" s="110">
        <v>0</v>
      </c>
      <c r="M15" s="111">
        <v>0</v>
      </c>
      <c r="N15" s="111">
        <v>0</v>
      </c>
      <c r="O15" s="111">
        <v>0</v>
      </c>
      <c r="P15" s="111">
        <v>0</v>
      </c>
      <c r="Q15" s="112">
        <v>0</v>
      </c>
      <c r="R15" s="73"/>
    </row>
    <row r="16" spans="2:19">
      <c r="B16" s="12"/>
      <c r="C16" s="53">
        <f t="shared" ref="C16:C17" si="0">C15+0.1</f>
        <v>50.400000000000006</v>
      </c>
      <c r="D16" s="54" t="s">
        <v>730</v>
      </c>
      <c r="E16" s="110">
        <v>0</v>
      </c>
      <c r="F16" s="111">
        <v>0</v>
      </c>
      <c r="G16" s="111">
        <v>0</v>
      </c>
      <c r="H16" s="111">
        <v>0</v>
      </c>
      <c r="I16" s="111">
        <v>0</v>
      </c>
      <c r="J16" s="112">
        <v>0</v>
      </c>
      <c r="K16" s="108"/>
      <c r="L16" s="110">
        <v>0</v>
      </c>
      <c r="M16" s="111">
        <v>0</v>
      </c>
      <c r="N16" s="111">
        <v>0</v>
      </c>
      <c r="O16" s="111">
        <v>0</v>
      </c>
      <c r="P16" s="111">
        <v>0</v>
      </c>
      <c r="Q16" s="112">
        <v>0</v>
      </c>
      <c r="R16" s="73"/>
    </row>
    <row r="17" spans="2:18">
      <c r="B17" s="12"/>
      <c r="C17" s="53">
        <f t="shared" si="0"/>
        <v>50.500000000000007</v>
      </c>
      <c r="D17" s="54" t="s">
        <v>731</v>
      </c>
      <c r="E17" s="110">
        <v>0</v>
      </c>
      <c r="F17" s="111">
        <v>0</v>
      </c>
      <c r="G17" s="111">
        <v>0</v>
      </c>
      <c r="H17" s="111">
        <v>0</v>
      </c>
      <c r="I17" s="111">
        <v>0</v>
      </c>
      <c r="J17" s="112">
        <v>0</v>
      </c>
      <c r="K17" s="108"/>
      <c r="L17" s="110">
        <v>0</v>
      </c>
      <c r="M17" s="111">
        <v>0</v>
      </c>
      <c r="N17" s="111">
        <v>0</v>
      </c>
      <c r="O17" s="111">
        <v>0</v>
      </c>
      <c r="P17" s="111">
        <v>0</v>
      </c>
      <c r="Q17" s="112">
        <v>0</v>
      </c>
      <c r="R17" s="73"/>
    </row>
    <row r="18" spans="2:18">
      <c r="B18" s="12"/>
      <c r="C18" s="53">
        <f>C12+0.1</f>
        <v>0.1</v>
      </c>
      <c r="D18" s="54" t="s">
        <v>732</v>
      </c>
      <c r="E18" s="110">
        <v>0</v>
      </c>
      <c r="F18" s="111">
        <v>0</v>
      </c>
      <c r="G18" s="111">
        <v>0</v>
      </c>
      <c r="H18" s="111">
        <v>0</v>
      </c>
      <c r="I18" s="111">
        <v>0</v>
      </c>
      <c r="J18" s="112">
        <v>0</v>
      </c>
      <c r="K18" s="108"/>
      <c r="L18" s="110">
        <v>0</v>
      </c>
      <c r="M18" s="111">
        <v>0</v>
      </c>
      <c r="N18" s="111">
        <v>0</v>
      </c>
      <c r="O18" s="111">
        <v>0</v>
      </c>
      <c r="P18" s="111">
        <v>0</v>
      </c>
      <c r="Q18" s="112">
        <v>0</v>
      </c>
      <c r="R18" s="73"/>
    </row>
    <row r="19" spans="2:18">
      <c r="B19" s="12"/>
      <c r="C19" s="53">
        <v>50.1</v>
      </c>
      <c r="D19" s="54" t="s">
        <v>733</v>
      </c>
      <c r="E19" s="110">
        <v>0</v>
      </c>
      <c r="F19" s="111">
        <v>0</v>
      </c>
      <c r="G19" s="111">
        <v>0</v>
      </c>
      <c r="H19" s="111">
        <v>0</v>
      </c>
      <c r="I19" s="111">
        <v>0</v>
      </c>
      <c r="J19" s="112">
        <v>0</v>
      </c>
      <c r="K19" s="108"/>
      <c r="L19" s="110">
        <v>0</v>
      </c>
      <c r="M19" s="111">
        <v>0</v>
      </c>
      <c r="N19" s="111">
        <v>0</v>
      </c>
      <c r="O19" s="111">
        <v>0</v>
      </c>
      <c r="P19" s="111">
        <v>0</v>
      </c>
      <c r="Q19" s="112">
        <v>0</v>
      </c>
      <c r="R19" s="73"/>
    </row>
    <row r="20" spans="2:18">
      <c r="B20" s="12"/>
      <c r="C20" s="53">
        <f>C14+0.1</f>
        <v>50.70000000000001</v>
      </c>
      <c r="D20" s="54" t="s">
        <v>734</v>
      </c>
      <c r="E20" s="110">
        <v>0</v>
      </c>
      <c r="F20" s="111">
        <v>0</v>
      </c>
      <c r="G20" s="111">
        <v>0</v>
      </c>
      <c r="H20" s="111">
        <v>0</v>
      </c>
      <c r="I20" s="111">
        <v>0</v>
      </c>
      <c r="J20" s="112">
        <v>0</v>
      </c>
      <c r="K20" s="108"/>
      <c r="L20" s="110">
        <v>0</v>
      </c>
      <c r="M20" s="111">
        <v>0</v>
      </c>
      <c r="N20" s="111">
        <v>0</v>
      </c>
      <c r="O20" s="111">
        <v>0</v>
      </c>
      <c r="P20" s="111">
        <v>0</v>
      </c>
      <c r="Q20" s="112">
        <v>0</v>
      </c>
      <c r="R20" s="73"/>
    </row>
    <row r="21" spans="2:18">
      <c r="B21" s="12"/>
      <c r="C21" s="53">
        <v>50.1</v>
      </c>
      <c r="D21" s="54" t="s">
        <v>735</v>
      </c>
      <c r="E21" s="110">
        <v>0</v>
      </c>
      <c r="F21" s="111">
        <v>0</v>
      </c>
      <c r="G21" s="111">
        <v>0</v>
      </c>
      <c r="H21" s="111">
        <v>0</v>
      </c>
      <c r="I21" s="111">
        <v>0</v>
      </c>
      <c r="J21" s="112">
        <v>0</v>
      </c>
      <c r="K21" s="108"/>
      <c r="L21" s="110">
        <v>0</v>
      </c>
      <c r="M21" s="111">
        <v>0</v>
      </c>
      <c r="N21" s="111">
        <v>0</v>
      </c>
      <c r="O21" s="111">
        <v>0</v>
      </c>
      <c r="P21" s="111">
        <v>0</v>
      </c>
      <c r="Q21" s="112">
        <v>0</v>
      </c>
      <c r="R21" s="73"/>
    </row>
    <row r="22" spans="2:18">
      <c r="B22" s="12"/>
      <c r="C22" s="53">
        <f>C24+0.1</f>
        <v>50.900000000000013</v>
      </c>
      <c r="D22" s="54" t="s">
        <v>736</v>
      </c>
      <c r="E22" s="110">
        <v>0</v>
      </c>
      <c r="F22" s="111">
        <v>0</v>
      </c>
      <c r="G22" s="111">
        <v>0</v>
      </c>
      <c r="H22" s="111">
        <v>0</v>
      </c>
      <c r="I22" s="111">
        <v>0</v>
      </c>
      <c r="J22" s="112">
        <v>0</v>
      </c>
      <c r="K22" s="108"/>
      <c r="L22" s="110">
        <v>0</v>
      </c>
      <c r="M22" s="111">
        <v>0</v>
      </c>
      <c r="N22" s="111">
        <v>0</v>
      </c>
      <c r="O22" s="111">
        <v>0</v>
      </c>
      <c r="P22" s="111">
        <v>0</v>
      </c>
      <c r="Q22" s="112">
        <v>0</v>
      </c>
      <c r="R22" s="73"/>
    </row>
    <row r="23" spans="2:18">
      <c r="B23" s="12"/>
      <c r="C23" s="53">
        <f t="shared" ref="C23" si="1">C22+0.1</f>
        <v>51.000000000000014</v>
      </c>
      <c r="D23" s="54" t="s">
        <v>737</v>
      </c>
      <c r="E23" s="110">
        <v>0</v>
      </c>
      <c r="F23" s="111">
        <v>0</v>
      </c>
      <c r="G23" s="111">
        <v>0</v>
      </c>
      <c r="H23" s="111">
        <v>0</v>
      </c>
      <c r="I23" s="111">
        <v>0</v>
      </c>
      <c r="J23" s="112">
        <v>0</v>
      </c>
      <c r="K23" s="108"/>
      <c r="L23" s="110">
        <v>0</v>
      </c>
      <c r="M23" s="111">
        <v>0</v>
      </c>
      <c r="N23" s="111">
        <v>0</v>
      </c>
      <c r="O23" s="111">
        <v>0</v>
      </c>
      <c r="P23" s="111">
        <v>0</v>
      </c>
      <c r="Q23" s="112">
        <v>0</v>
      </c>
      <c r="R23" s="73"/>
    </row>
    <row r="24" spans="2:18">
      <c r="B24" s="12"/>
      <c r="C24" s="53">
        <f>C20+0.1</f>
        <v>50.800000000000011</v>
      </c>
      <c r="D24" s="54" t="s">
        <v>738</v>
      </c>
      <c r="E24" s="110">
        <v>0</v>
      </c>
      <c r="F24" s="111">
        <v>0</v>
      </c>
      <c r="G24" s="111">
        <v>0</v>
      </c>
      <c r="H24" s="111">
        <v>0</v>
      </c>
      <c r="I24" s="111">
        <v>0</v>
      </c>
      <c r="J24" s="112">
        <v>0</v>
      </c>
      <c r="K24" s="108"/>
      <c r="L24" s="110">
        <v>0</v>
      </c>
      <c r="M24" s="111">
        <v>0</v>
      </c>
      <c r="N24" s="111">
        <v>0</v>
      </c>
      <c r="O24" s="111">
        <v>0</v>
      </c>
      <c r="P24" s="111">
        <v>0</v>
      </c>
      <c r="Q24" s="112">
        <v>0</v>
      </c>
      <c r="R24" s="73"/>
    </row>
    <row r="25" spans="2:18">
      <c r="B25" s="12"/>
      <c r="C25" s="53"/>
      <c r="D25" s="54" t="s">
        <v>739</v>
      </c>
      <c r="E25" s="110">
        <v>0</v>
      </c>
      <c r="F25" s="111">
        <v>0</v>
      </c>
      <c r="G25" s="111">
        <v>0</v>
      </c>
      <c r="H25" s="111">
        <v>0</v>
      </c>
      <c r="I25" s="111">
        <v>0</v>
      </c>
      <c r="J25" s="112">
        <v>0</v>
      </c>
      <c r="K25" s="108"/>
      <c r="L25" s="110">
        <v>0</v>
      </c>
      <c r="M25" s="111">
        <v>0</v>
      </c>
      <c r="N25" s="111">
        <v>0</v>
      </c>
      <c r="O25" s="111">
        <v>0</v>
      </c>
      <c r="P25" s="111">
        <v>0</v>
      </c>
      <c r="Q25" s="112">
        <v>0</v>
      </c>
      <c r="R25" s="73"/>
    </row>
    <row r="26" spans="2:18">
      <c r="B26" s="12"/>
      <c r="C26" s="53"/>
      <c r="D26" s="54"/>
      <c r="E26" s="110">
        <v>0</v>
      </c>
      <c r="F26" s="111">
        <v>0</v>
      </c>
      <c r="G26" s="111">
        <v>0</v>
      </c>
      <c r="H26" s="111">
        <v>0</v>
      </c>
      <c r="I26" s="111">
        <v>0</v>
      </c>
      <c r="J26" s="112">
        <v>0</v>
      </c>
      <c r="K26" s="108"/>
      <c r="L26" s="110">
        <v>0</v>
      </c>
      <c r="M26" s="111">
        <v>0</v>
      </c>
      <c r="N26" s="111">
        <v>0</v>
      </c>
      <c r="O26" s="111">
        <v>0</v>
      </c>
      <c r="P26" s="111">
        <v>0</v>
      </c>
      <c r="Q26" s="112">
        <v>0</v>
      </c>
      <c r="R26" s="73"/>
    </row>
    <row r="27" spans="2:18" ht="16.5" thickBot="1">
      <c r="B27" s="12"/>
      <c r="C27" s="91"/>
      <c r="D27" s="63" t="s">
        <v>688</v>
      </c>
      <c r="E27" s="113">
        <f>SUM(E12:E26)</f>
        <v>0</v>
      </c>
      <c r="F27" s="113">
        <f t="shared" ref="F27:I27" si="2">SUM(F12:F26)</f>
        <v>0</v>
      </c>
      <c r="G27" s="113">
        <f t="shared" si="2"/>
        <v>0</v>
      </c>
      <c r="H27" s="113">
        <f t="shared" si="2"/>
        <v>0</v>
      </c>
      <c r="I27" s="113">
        <f t="shared" si="2"/>
        <v>0</v>
      </c>
      <c r="J27" s="114">
        <f>SUM(J12:J26)</f>
        <v>0</v>
      </c>
      <c r="K27" s="115"/>
      <c r="L27" s="113">
        <f>SUM(L12:L26)</f>
        <v>0</v>
      </c>
      <c r="M27" s="113">
        <f t="shared" ref="M27" si="3">SUM(M12:M26)</f>
        <v>0</v>
      </c>
      <c r="N27" s="113">
        <f t="shared" ref="N27" si="4">SUM(N12:N26)</f>
        <v>0</v>
      </c>
      <c r="O27" s="113">
        <f t="shared" ref="O27" si="5">SUM(O12:O26)</f>
        <v>0</v>
      </c>
      <c r="P27" s="113">
        <f t="shared" ref="P27" si="6">SUM(P12:P26)</f>
        <v>0</v>
      </c>
      <c r="Q27" s="114">
        <f>SUM(Q12:Q26)</f>
        <v>0</v>
      </c>
      <c r="R27" s="73"/>
    </row>
    <row r="28" spans="2:18" ht="14.25" thickBot="1"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40"/>
    </row>
    <row r="31" spans="2:18" ht="15">
      <c r="D31" s="484" t="s">
        <v>740</v>
      </c>
      <c r="E31" s="483"/>
      <c r="F31" s="116">
        <f>SUM(E27:Q27)</f>
        <v>0</v>
      </c>
    </row>
    <row r="32" spans="2:18" ht="15.75" thickBot="1">
      <c r="D32" s="483" t="s">
        <v>741</v>
      </c>
      <c r="E32" s="483"/>
      <c r="F32" s="117">
        <v>0</v>
      </c>
    </row>
    <row r="33" spans="4:6" ht="15">
      <c r="D33" s="483" t="s">
        <v>742</v>
      </c>
      <c r="E33" s="483"/>
      <c r="F33" s="118">
        <f>F31-F32</f>
        <v>0</v>
      </c>
    </row>
  </sheetData>
  <sheetProtection sheet="1" formatCells="0" formatColumns="0" formatRows="0" insertColumns="0" insertRows="0" insertHyperlinks="0" deleteColumns="0" deleteRows="0" sort="0" autoFilter="0" pivotTables="0"/>
  <mergeCells count="6">
    <mergeCell ref="D33:E33"/>
    <mergeCell ref="E3:F3"/>
    <mergeCell ref="E8:J8"/>
    <mergeCell ref="L8:Q8"/>
    <mergeCell ref="D31:E31"/>
    <mergeCell ref="D32:E32"/>
  </mergeCells>
  <pageMargins left="0.2" right="0.2" top="0.25" bottom="0.25" header="0.3" footer="0.3"/>
  <pageSetup scale="66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C89F3-7234-4E7D-953F-FBC83A80666C}">
  <sheetPr codeName="Sheet18">
    <pageSetUpPr fitToPage="1"/>
  </sheetPr>
  <dimension ref="B2:K60"/>
  <sheetViews>
    <sheetView showGridLines="0" zoomScaleNormal="100" workbookViewId="0">
      <pane ySplit="8" topLeftCell="A9" activePane="bottomLeft" state="frozen"/>
      <selection activeCell="D7" sqref="D7"/>
      <selection pane="bottomLeft" activeCell="E7" sqref="E7"/>
    </sheetView>
  </sheetViews>
  <sheetFormatPr defaultColWidth="11" defaultRowHeight="13.5"/>
  <cols>
    <col min="1" max="1" width="8.7109375" style="7" customWidth="1"/>
    <col min="2" max="2" width="1.85546875" style="7" customWidth="1"/>
    <col min="3" max="3" width="15.42578125" style="7" customWidth="1"/>
    <col min="4" max="4" width="42.85546875" style="7" customWidth="1"/>
    <col min="5" max="5" width="21.140625" style="7" customWidth="1"/>
    <col min="6" max="6" width="15.140625" style="7" bestFit="1" customWidth="1"/>
    <col min="7" max="7" width="10.42578125" style="7" customWidth="1"/>
    <col min="8" max="8" width="15.7109375" style="7" customWidth="1"/>
    <col min="9" max="9" width="15.28515625" style="7" customWidth="1"/>
    <col min="10" max="10" width="15.28515625" style="7" bestFit="1" customWidth="1"/>
    <col min="11" max="11" width="1.85546875" style="7" customWidth="1"/>
    <col min="12" max="12" width="11.140625" style="7" customWidth="1"/>
    <col min="13" max="13" width="23.140625" style="7" bestFit="1" customWidth="1"/>
    <col min="14" max="14" width="11" style="7" customWidth="1"/>
    <col min="15" max="16384" width="11" style="7"/>
  </cols>
  <sheetData>
    <row r="2" spans="2:11" ht="15" customHeight="1" thickBot="1">
      <c r="C2" s="121" t="str">
        <f>'STEP 2 - GCs'!C2</f>
        <v>E26-123.0</v>
      </c>
      <c r="D2" s="3"/>
      <c r="E2" s="44"/>
      <c r="F2" s="44"/>
      <c r="G2" s="44"/>
      <c r="H2" s="44"/>
      <c r="I2" s="45"/>
      <c r="J2" s="46"/>
    </row>
    <row r="3" spans="2:11" ht="16.5">
      <c r="B3" s="8"/>
      <c r="C3" s="124" t="str">
        <f>'STEP 2 - GCs'!C3</f>
        <v>Project Name</v>
      </c>
      <c r="D3" s="125" t="str">
        <f>'STEP 2 - GCs'!D3</f>
        <v>Name</v>
      </c>
      <c r="E3" s="48"/>
      <c r="F3" s="48"/>
      <c r="G3" s="48"/>
      <c r="H3" s="48"/>
      <c r="I3" s="47"/>
      <c r="J3" s="49"/>
      <c r="K3" s="11"/>
    </row>
    <row r="4" spans="2:11" ht="16.5">
      <c r="B4" s="12"/>
      <c r="C4" s="121" t="str">
        <f>'STEP 2 - GCs'!C4</f>
        <v>Location</v>
      </c>
      <c r="D4" s="3" t="str">
        <f>'STEP 2 - GCs'!D4</f>
        <v>1234 Main St</v>
      </c>
      <c r="E4" s="44"/>
      <c r="F4" s="43"/>
      <c r="G4" s="44"/>
      <c r="H4" s="44"/>
      <c r="I4" s="43"/>
      <c r="J4" s="50"/>
      <c r="K4" s="13"/>
    </row>
    <row r="5" spans="2:11" ht="16.5">
      <c r="B5" s="12"/>
      <c r="C5" s="121"/>
      <c r="D5" s="3" t="str">
        <f>'STEP 2 - GCs'!D5</f>
        <v>Minneapolis, MN</v>
      </c>
      <c r="E5" s="44"/>
      <c r="F5" s="44"/>
      <c r="G5" s="44"/>
      <c r="H5" s="44"/>
      <c r="I5" s="43"/>
      <c r="J5" s="51"/>
      <c r="K5" s="13"/>
    </row>
    <row r="6" spans="2:11" ht="16.5">
      <c r="B6" s="12"/>
      <c r="C6" s="121" t="str">
        <f>'STEP 2 - GCs'!C6</f>
        <v>Architect</v>
      </c>
      <c r="D6" s="3" t="str">
        <f>'STEP 2 - GCs'!D6</f>
        <v>TBD</v>
      </c>
      <c r="E6" s="44"/>
      <c r="F6" s="44"/>
      <c r="G6" s="44"/>
      <c r="H6" s="44"/>
      <c r="I6" s="43"/>
      <c r="J6" s="44"/>
      <c r="K6" s="13"/>
    </row>
    <row r="7" spans="2:11" ht="16.5">
      <c r="B7" s="12"/>
      <c r="C7" s="121" t="str">
        <f>'STEP 2 - GCs'!C7</f>
        <v>Plan Set</v>
      </c>
      <c r="D7" s="3" t="str">
        <f>'STEP 2 - GCs'!D7</f>
        <v>TBD</v>
      </c>
      <c r="E7" s="44"/>
      <c r="F7" s="44"/>
      <c r="G7" s="44"/>
      <c r="H7" s="44"/>
      <c r="I7" s="44"/>
      <c r="J7" s="44"/>
      <c r="K7" s="13"/>
    </row>
    <row r="8" spans="2:11" ht="17.25" thickBot="1">
      <c r="B8" s="12"/>
      <c r="C8" s="44"/>
      <c r="D8" s="44"/>
      <c r="E8" s="44"/>
      <c r="F8" s="44"/>
      <c r="G8" s="44"/>
      <c r="H8" s="44"/>
      <c r="I8" s="44"/>
      <c r="J8" s="44"/>
      <c r="K8" s="13"/>
    </row>
    <row r="9" spans="2:11" ht="16.5">
      <c r="B9" s="12"/>
      <c r="C9" s="491" t="s">
        <v>743</v>
      </c>
      <c r="D9" s="492"/>
      <c r="E9" s="492"/>
      <c r="F9" s="492"/>
      <c r="G9" s="492"/>
      <c r="H9" s="492"/>
      <c r="I9" s="492"/>
      <c r="J9" s="493"/>
      <c r="K9" s="13"/>
    </row>
    <row r="10" spans="2:11">
      <c r="B10" s="12"/>
      <c r="C10" s="485" t="s">
        <v>744</v>
      </c>
      <c r="D10" s="486"/>
      <c r="E10" s="486"/>
      <c r="F10" s="486"/>
      <c r="G10" s="486"/>
      <c r="H10" s="486"/>
      <c r="I10" s="486"/>
      <c r="J10" s="487"/>
      <c r="K10" s="13"/>
    </row>
    <row r="11" spans="2:11" ht="14.1" customHeight="1">
      <c r="B11" s="12"/>
      <c r="C11" s="485" t="s">
        <v>745</v>
      </c>
      <c r="D11" s="486"/>
      <c r="E11" s="486"/>
      <c r="F11" s="486"/>
      <c r="G11" s="486"/>
      <c r="H11" s="486"/>
      <c r="I11" s="486"/>
      <c r="J11" s="487"/>
      <c r="K11" s="13"/>
    </row>
    <row r="12" spans="2:11" ht="14.1" customHeight="1">
      <c r="B12" s="12"/>
      <c r="C12" s="485" t="s">
        <v>746</v>
      </c>
      <c r="D12" s="486"/>
      <c r="E12" s="486"/>
      <c r="F12" s="486"/>
      <c r="G12" s="486"/>
      <c r="H12" s="486"/>
      <c r="I12" s="486"/>
      <c r="J12" s="487"/>
      <c r="K12" s="13"/>
    </row>
    <row r="13" spans="2:11" ht="14.1" customHeight="1">
      <c r="B13" s="12"/>
      <c r="C13" s="485" t="s">
        <v>747</v>
      </c>
      <c r="D13" s="486"/>
      <c r="E13" s="486"/>
      <c r="F13" s="486"/>
      <c r="G13" s="486"/>
      <c r="H13" s="486"/>
      <c r="I13" s="486"/>
      <c r="J13" s="487"/>
      <c r="K13" s="13"/>
    </row>
    <row r="14" spans="2:11" ht="14.1" customHeight="1">
      <c r="B14" s="12"/>
      <c r="C14" s="485" t="s">
        <v>748</v>
      </c>
      <c r="D14" s="486"/>
      <c r="E14" s="486"/>
      <c r="F14" s="486"/>
      <c r="G14" s="486"/>
      <c r="H14" s="486"/>
      <c r="I14" s="486"/>
      <c r="J14" s="487"/>
      <c r="K14" s="13"/>
    </row>
    <row r="15" spans="2:11" ht="14.1" customHeight="1">
      <c r="B15" s="12"/>
      <c r="C15" s="485" t="s">
        <v>749</v>
      </c>
      <c r="D15" s="486"/>
      <c r="E15" s="486"/>
      <c r="F15" s="486"/>
      <c r="G15" s="486"/>
      <c r="H15" s="486"/>
      <c r="I15" s="486"/>
      <c r="J15" s="487"/>
      <c r="K15" s="13"/>
    </row>
    <row r="16" spans="2:11" ht="14.1" customHeight="1">
      <c r="B16" s="12"/>
      <c r="C16" s="485" t="s">
        <v>750</v>
      </c>
      <c r="D16" s="486"/>
      <c r="E16" s="486"/>
      <c r="F16" s="486"/>
      <c r="G16" s="486"/>
      <c r="H16" s="486"/>
      <c r="I16" s="486"/>
      <c r="J16" s="487"/>
      <c r="K16" s="13"/>
    </row>
    <row r="17" spans="2:11" ht="14.1" customHeight="1">
      <c r="B17" s="12"/>
      <c r="C17" s="488" t="s">
        <v>751</v>
      </c>
      <c r="D17" s="489"/>
      <c r="E17" s="489"/>
      <c r="F17" s="489"/>
      <c r="G17" s="489"/>
      <c r="H17" s="489"/>
      <c r="I17" s="489"/>
      <c r="J17" s="490"/>
      <c r="K17" s="13"/>
    </row>
    <row r="18" spans="2:11" ht="14.1" customHeight="1">
      <c r="B18" s="12"/>
      <c r="C18" s="485" t="s">
        <v>752</v>
      </c>
      <c r="D18" s="486"/>
      <c r="E18" s="486"/>
      <c r="F18" s="486"/>
      <c r="G18" s="486"/>
      <c r="H18" s="486"/>
      <c r="I18" s="486"/>
      <c r="J18" s="487"/>
      <c r="K18" s="13"/>
    </row>
    <row r="19" spans="2:11" ht="14.1" customHeight="1">
      <c r="B19" s="12"/>
      <c r="C19" s="485" t="s">
        <v>753</v>
      </c>
      <c r="D19" s="486"/>
      <c r="E19" s="486"/>
      <c r="F19" s="486"/>
      <c r="G19" s="486"/>
      <c r="H19" s="486"/>
      <c r="I19" s="486"/>
      <c r="J19" s="487"/>
      <c r="K19" s="13"/>
    </row>
    <row r="20" spans="2:11" ht="14.1" customHeight="1">
      <c r="B20" s="12"/>
      <c r="C20" s="485" t="s">
        <v>754</v>
      </c>
      <c r="D20" s="486"/>
      <c r="E20" s="486"/>
      <c r="F20" s="486"/>
      <c r="G20" s="486"/>
      <c r="H20" s="486"/>
      <c r="I20" s="486"/>
      <c r="J20" s="487"/>
      <c r="K20" s="13"/>
    </row>
    <row r="21" spans="2:11" ht="14.1" customHeight="1">
      <c r="B21" s="12"/>
      <c r="C21" s="488" t="s">
        <v>755</v>
      </c>
      <c r="D21" s="489"/>
      <c r="E21" s="489"/>
      <c r="F21" s="489"/>
      <c r="G21" s="489"/>
      <c r="H21" s="489"/>
      <c r="I21" s="489"/>
      <c r="J21" s="490"/>
      <c r="K21" s="13"/>
    </row>
    <row r="22" spans="2:11" ht="14.1" customHeight="1">
      <c r="B22" s="12"/>
      <c r="C22" s="485" t="s">
        <v>756</v>
      </c>
      <c r="D22" s="486"/>
      <c r="E22" s="486"/>
      <c r="F22" s="486"/>
      <c r="G22" s="486"/>
      <c r="H22" s="486"/>
      <c r="I22" s="486"/>
      <c r="J22" s="487"/>
      <c r="K22" s="13"/>
    </row>
    <row r="23" spans="2:11" ht="14.1" customHeight="1">
      <c r="B23" s="12"/>
      <c r="C23" s="485" t="s">
        <v>757</v>
      </c>
      <c r="D23" s="486"/>
      <c r="E23" s="486"/>
      <c r="F23" s="486"/>
      <c r="G23" s="486"/>
      <c r="H23" s="486"/>
      <c r="I23" s="486"/>
      <c r="J23" s="487"/>
      <c r="K23" s="13"/>
    </row>
    <row r="24" spans="2:11" ht="14.1" customHeight="1">
      <c r="B24" s="12"/>
      <c r="C24" s="485" t="s">
        <v>758</v>
      </c>
      <c r="D24" s="486"/>
      <c r="E24" s="486"/>
      <c r="F24" s="486"/>
      <c r="G24" s="486"/>
      <c r="H24" s="486"/>
      <c r="I24" s="486"/>
      <c r="J24" s="487"/>
      <c r="K24" s="13"/>
    </row>
    <row r="25" spans="2:11" ht="14.1" customHeight="1">
      <c r="B25" s="12"/>
      <c r="C25" s="485" t="s">
        <v>759</v>
      </c>
      <c r="D25" s="486"/>
      <c r="E25" s="486"/>
      <c r="F25" s="486"/>
      <c r="G25" s="486"/>
      <c r="H25" s="486"/>
      <c r="I25" s="486"/>
      <c r="J25" s="487"/>
      <c r="K25" s="13"/>
    </row>
    <row r="26" spans="2:11" ht="14.1" customHeight="1">
      <c r="B26" s="12"/>
      <c r="C26" s="485" t="s">
        <v>760</v>
      </c>
      <c r="D26" s="486"/>
      <c r="E26" s="486"/>
      <c r="F26" s="486"/>
      <c r="G26" s="486"/>
      <c r="H26" s="486"/>
      <c r="I26" s="486"/>
      <c r="J26" s="487"/>
      <c r="K26" s="13"/>
    </row>
    <row r="27" spans="2:11" ht="14.1" customHeight="1">
      <c r="B27" s="12"/>
      <c r="C27" s="485" t="s">
        <v>761</v>
      </c>
      <c r="D27" s="486"/>
      <c r="E27" s="486"/>
      <c r="F27" s="486"/>
      <c r="G27" s="486"/>
      <c r="H27" s="486"/>
      <c r="I27" s="486"/>
      <c r="J27" s="487"/>
      <c r="K27" s="13"/>
    </row>
    <row r="28" spans="2:11" ht="26.25" customHeight="1">
      <c r="B28" s="12"/>
      <c r="C28" s="488" t="s">
        <v>762</v>
      </c>
      <c r="D28" s="489"/>
      <c r="E28" s="489"/>
      <c r="F28" s="489"/>
      <c r="G28" s="489"/>
      <c r="H28" s="489"/>
      <c r="I28" s="489"/>
      <c r="J28" s="490"/>
      <c r="K28" s="13"/>
    </row>
    <row r="29" spans="2:11" ht="14.1" customHeight="1">
      <c r="B29" s="12"/>
      <c r="C29" s="485" t="s">
        <v>763</v>
      </c>
      <c r="D29" s="486"/>
      <c r="E29" s="486"/>
      <c r="F29" s="486"/>
      <c r="G29" s="486"/>
      <c r="H29" s="486"/>
      <c r="I29" s="486"/>
      <c r="J29" s="487"/>
      <c r="K29" s="13"/>
    </row>
    <row r="30" spans="2:11" ht="14.1" customHeight="1">
      <c r="B30" s="12"/>
      <c r="C30" s="494" t="s">
        <v>764</v>
      </c>
      <c r="D30" s="486"/>
      <c r="E30" s="486"/>
      <c r="F30" s="486"/>
      <c r="G30" s="486"/>
      <c r="H30" s="486"/>
      <c r="I30" s="486"/>
      <c r="J30" s="487"/>
      <c r="K30" s="13"/>
    </row>
    <row r="31" spans="2:11" ht="14.1" customHeight="1">
      <c r="B31" s="12"/>
      <c r="C31" s="485" t="s">
        <v>765</v>
      </c>
      <c r="D31" s="486"/>
      <c r="E31" s="486"/>
      <c r="F31" s="486"/>
      <c r="G31" s="486"/>
      <c r="H31" s="486"/>
      <c r="I31" s="486"/>
      <c r="J31" s="487"/>
      <c r="K31" s="13"/>
    </row>
    <row r="32" spans="2:11" ht="14.1" customHeight="1">
      <c r="B32" s="12"/>
      <c r="C32" s="494"/>
      <c r="D32" s="486"/>
      <c r="E32" s="486"/>
      <c r="F32" s="486"/>
      <c r="G32" s="486"/>
      <c r="H32" s="486"/>
      <c r="I32" s="486"/>
      <c r="J32" s="487"/>
      <c r="K32" s="13"/>
    </row>
    <row r="33" spans="2:11" ht="14.25" thickBot="1">
      <c r="B33" s="12"/>
      <c r="C33" s="495"/>
      <c r="D33" s="496"/>
      <c r="E33" s="496"/>
      <c r="F33" s="496"/>
      <c r="G33" s="496"/>
      <c r="H33" s="496"/>
      <c r="I33" s="496"/>
      <c r="J33" s="497"/>
      <c r="K33" s="13"/>
    </row>
    <row r="34" spans="2:11" ht="15" thickBot="1">
      <c r="B34" s="12"/>
      <c r="C34" s="120"/>
      <c r="D34" s="119"/>
      <c r="E34" s="119"/>
      <c r="F34" s="119"/>
      <c r="G34" s="119"/>
      <c r="H34" s="119"/>
      <c r="I34" s="9"/>
      <c r="J34" s="9"/>
      <c r="K34" s="13"/>
    </row>
    <row r="35" spans="2:11" ht="16.5">
      <c r="B35" s="12"/>
      <c r="C35" s="491" t="s">
        <v>766</v>
      </c>
      <c r="D35" s="492"/>
      <c r="E35" s="492"/>
      <c r="F35" s="492"/>
      <c r="G35" s="492"/>
      <c r="H35" s="492"/>
      <c r="I35" s="492"/>
      <c r="J35" s="493"/>
      <c r="K35" s="13"/>
    </row>
    <row r="36" spans="2:11" ht="14.1" customHeight="1">
      <c r="B36" s="12"/>
      <c r="C36" s="485"/>
      <c r="D36" s="486"/>
      <c r="E36" s="486"/>
      <c r="F36" s="486"/>
      <c r="G36" s="486"/>
      <c r="H36" s="486"/>
      <c r="I36" s="486"/>
      <c r="J36" s="487"/>
      <c r="K36" s="13"/>
    </row>
    <row r="37" spans="2:11" ht="14.1" customHeight="1">
      <c r="B37" s="12"/>
      <c r="C37" s="485"/>
      <c r="D37" s="486"/>
      <c r="E37" s="486"/>
      <c r="F37" s="486"/>
      <c r="G37" s="486"/>
      <c r="H37" s="486"/>
      <c r="I37" s="486"/>
      <c r="J37" s="487"/>
      <c r="K37" s="13"/>
    </row>
    <row r="38" spans="2:11" ht="14.1" customHeight="1">
      <c r="B38" s="12"/>
      <c r="C38" s="485"/>
      <c r="D38" s="486"/>
      <c r="E38" s="486"/>
      <c r="F38" s="486"/>
      <c r="G38" s="486"/>
      <c r="H38" s="486"/>
      <c r="I38" s="486"/>
      <c r="J38" s="487"/>
      <c r="K38" s="13"/>
    </row>
    <row r="39" spans="2:11" ht="17.25">
      <c r="B39" s="12"/>
      <c r="C39" s="485"/>
      <c r="D39" s="486"/>
      <c r="E39" s="486"/>
      <c r="F39" s="486"/>
      <c r="G39" s="486"/>
      <c r="H39" s="486"/>
      <c r="I39" s="486"/>
      <c r="J39" s="487"/>
      <c r="K39" s="66"/>
    </row>
    <row r="40" spans="2:11">
      <c r="B40" s="12"/>
      <c r="C40" s="485"/>
      <c r="D40" s="486"/>
      <c r="E40" s="486"/>
      <c r="F40" s="486"/>
      <c r="G40" s="486"/>
      <c r="H40" s="486"/>
      <c r="I40" s="486"/>
      <c r="J40" s="487"/>
      <c r="K40" s="13"/>
    </row>
    <row r="41" spans="2:11" ht="14.1" customHeight="1">
      <c r="B41" s="12"/>
      <c r="C41" s="485"/>
      <c r="D41" s="486"/>
      <c r="E41" s="486"/>
      <c r="F41" s="486"/>
      <c r="G41" s="486"/>
      <c r="H41" s="486"/>
      <c r="I41" s="486"/>
      <c r="J41" s="487"/>
      <c r="K41" s="13"/>
    </row>
    <row r="42" spans="2:11" ht="14.1" customHeight="1">
      <c r="B42" s="12"/>
      <c r="C42" s="485"/>
      <c r="D42" s="486"/>
      <c r="E42" s="486"/>
      <c r="F42" s="486"/>
      <c r="G42" s="486"/>
      <c r="H42" s="486"/>
      <c r="I42" s="486"/>
      <c r="J42" s="487"/>
      <c r="K42" s="13"/>
    </row>
    <row r="43" spans="2:11" ht="17.25">
      <c r="B43" s="12"/>
      <c r="C43" s="485"/>
      <c r="D43" s="486"/>
      <c r="E43" s="486"/>
      <c r="F43" s="486"/>
      <c r="G43" s="486"/>
      <c r="H43" s="486"/>
      <c r="I43" s="486"/>
      <c r="J43" s="487"/>
      <c r="K43" s="66"/>
    </row>
    <row r="44" spans="2:11">
      <c r="B44" s="12"/>
      <c r="C44" s="485"/>
      <c r="D44" s="486"/>
      <c r="E44" s="486"/>
      <c r="F44" s="486"/>
      <c r="G44" s="486"/>
      <c r="H44" s="486"/>
      <c r="I44" s="486"/>
      <c r="J44" s="487"/>
      <c r="K44" s="13"/>
    </row>
    <row r="45" spans="2:11" ht="14.1" customHeight="1">
      <c r="B45" s="12"/>
      <c r="C45" s="485"/>
      <c r="D45" s="486"/>
      <c r="E45" s="486"/>
      <c r="F45" s="486"/>
      <c r="G45" s="486"/>
      <c r="H45" s="486"/>
      <c r="I45" s="486"/>
      <c r="J45" s="487"/>
      <c r="K45" s="13"/>
    </row>
    <row r="46" spans="2:11" ht="14.1" customHeight="1">
      <c r="B46" s="12"/>
      <c r="C46" s="485"/>
      <c r="D46" s="486"/>
      <c r="E46" s="486"/>
      <c r="F46" s="486"/>
      <c r="G46" s="486"/>
      <c r="H46" s="486"/>
      <c r="I46" s="486"/>
      <c r="J46" s="487"/>
      <c r="K46" s="13"/>
    </row>
    <row r="47" spans="2:11" ht="17.25">
      <c r="B47" s="12"/>
      <c r="C47" s="485"/>
      <c r="D47" s="486"/>
      <c r="E47" s="486"/>
      <c r="F47" s="486"/>
      <c r="G47" s="486"/>
      <c r="H47" s="486"/>
      <c r="I47" s="486"/>
      <c r="J47" s="487"/>
      <c r="K47" s="66"/>
    </row>
    <row r="48" spans="2:11">
      <c r="B48" s="12"/>
      <c r="C48" s="485"/>
      <c r="D48" s="486"/>
      <c r="E48" s="486"/>
      <c r="F48" s="486"/>
      <c r="G48" s="486"/>
      <c r="H48" s="486"/>
      <c r="I48" s="486"/>
      <c r="J48" s="487"/>
      <c r="K48" s="13"/>
    </row>
    <row r="49" spans="2:11" ht="14.1" customHeight="1">
      <c r="B49" s="12"/>
      <c r="C49" s="485"/>
      <c r="D49" s="486"/>
      <c r="E49" s="486"/>
      <c r="F49" s="486"/>
      <c r="G49" s="486"/>
      <c r="H49" s="486"/>
      <c r="I49" s="486"/>
      <c r="J49" s="487"/>
      <c r="K49" s="13"/>
    </row>
    <row r="50" spans="2:11" ht="14.1" customHeight="1">
      <c r="B50" s="12"/>
      <c r="C50" s="485"/>
      <c r="D50" s="486"/>
      <c r="E50" s="486"/>
      <c r="F50" s="486"/>
      <c r="G50" s="486"/>
      <c r="H50" s="486"/>
      <c r="I50" s="486"/>
      <c r="J50" s="487"/>
      <c r="K50" s="13"/>
    </row>
    <row r="51" spans="2:11" ht="14.1" customHeight="1">
      <c r="B51" s="12"/>
      <c r="C51" s="485"/>
      <c r="D51" s="486"/>
      <c r="E51" s="486"/>
      <c r="F51" s="486"/>
      <c r="G51" s="486"/>
      <c r="H51" s="486"/>
      <c r="I51" s="486"/>
      <c r="J51" s="487"/>
      <c r="K51" s="13"/>
    </row>
    <row r="52" spans="2:11" ht="17.25">
      <c r="B52" s="12"/>
      <c r="C52" s="485"/>
      <c r="D52" s="486"/>
      <c r="E52" s="486"/>
      <c r="F52" s="486"/>
      <c r="G52" s="486"/>
      <c r="H52" s="486"/>
      <c r="I52" s="486"/>
      <c r="J52" s="487"/>
      <c r="K52" s="66"/>
    </row>
    <row r="53" spans="2:11">
      <c r="B53" s="12"/>
      <c r="C53" s="485"/>
      <c r="D53" s="486"/>
      <c r="E53" s="486"/>
      <c r="F53" s="486"/>
      <c r="G53" s="486"/>
      <c r="H53" s="486"/>
      <c r="I53" s="486"/>
      <c r="J53" s="487"/>
      <c r="K53" s="13"/>
    </row>
    <row r="54" spans="2:11" ht="14.1" customHeight="1">
      <c r="B54" s="12"/>
      <c r="C54" s="485"/>
      <c r="D54" s="486"/>
      <c r="E54" s="486"/>
      <c r="F54" s="486"/>
      <c r="G54" s="486"/>
      <c r="H54" s="486"/>
      <c r="I54" s="486"/>
      <c r="J54" s="487"/>
      <c r="K54" s="13"/>
    </row>
    <row r="55" spans="2:11" ht="14.1" customHeight="1">
      <c r="B55" s="12"/>
      <c r="C55" s="485"/>
      <c r="D55" s="486"/>
      <c r="E55" s="486"/>
      <c r="F55" s="486"/>
      <c r="G55" s="486"/>
      <c r="H55" s="486"/>
      <c r="I55" s="486"/>
      <c r="J55" s="487"/>
      <c r="K55" s="13"/>
    </row>
    <row r="56" spans="2:11" ht="14.1" customHeight="1">
      <c r="B56" s="12"/>
      <c r="C56" s="485"/>
      <c r="D56" s="486"/>
      <c r="E56" s="486"/>
      <c r="F56" s="486"/>
      <c r="G56" s="486"/>
      <c r="H56" s="486"/>
      <c r="I56" s="486"/>
      <c r="J56" s="487"/>
      <c r="K56" s="13"/>
    </row>
    <row r="57" spans="2:11" ht="14.1" customHeight="1">
      <c r="B57" s="12"/>
      <c r="C57" s="494"/>
      <c r="D57" s="486"/>
      <c r="E57" s="486"/>
      <c r="F57" s="486"/>
      <c r="G57" s="486"/>
      <c r="H57" s="486"/>
      <c r="I57" s="486"/>
      <c r="J57" s="487"/>
      <c r="K57" s="13"/>
    </row>
    <row r="58" spans="2:11" ht="14.1" customHeight="1" thickBot="1">
      <c r="B58" s="12"/>
      <c r="C58" s="495"/>
      <c r="D58" s="496"/>
      <c r="E58" s="496"/>
      <c r="F58" s="496"/>
      <c r="G58" s="496"/>
      <c r="H58" s="496"/>
      <c r="I58" s="496"/>
      <c r="J58" s="497"/>
      <c r="K58" s="13"/>
    </row>
    <row r="59" spans="2:11" ht="14.25" thickBot="1">
      <c r="B59" s="38"/>
      <c r="C59" s="39"/>
      <c r="D59" s="39"/>
      <c r="E59" s="39"/>
      <c r="F59" s="39"/>
      <c r="G59" s="39"/>
      <c r="H59" s="39"/>
      <c r="I59" s="39"/>
      <c r="J59" s="39"/>
      <c r="K59" s="40"/>
    </row>
    <row r="60" spans="2:11" ht="9.6" customHeight="1"/>
  </sheetData>
  <sheetProtection sheet="1" formatCells="0" formatColumns="0" formatRows="0" insertColumns="0" insertRows="0" insertHyperlinks="0" deleteColumns="0" deleteRows="0" sort="0" autoFilter="0" pivotTables="0"/>
  <mergeCells count="49">
    <mergeCell ref="C58:J58"/>
    <mergeCell ref="C30:J30"/>
    <mergeCell ref="C52:J52"/>
    <mergeCell ref="C53:J53"/>
    <mergeCell ref="C54:J54"/>
    <mergeCell ref="C55:J55"/>
    <mergeCell ref="C56:J56"/>
    <mergeCell ref="C57:J57"/>
    <mergeCell ref="C46:J46"/>
    <mergeCell ref="C47:J47"/>
    <mergeCell ref="C48:J48"/>
    <mergeCell ref="C49:J49"/>
    <mergeCell ref="C50:J50"/>
    <mergeCell ref="C51:J51"/>
    <mergeCell ref="C40:J40"/>
    <mergeCell ref="C41:J41"/>
    <mergeCell ref="C9:J9"/>
    <mergeCell ref="C35:J35"/>
    <mergeCell ref="C36:J36"/>
    <mergeCell ref="C37:J37"/>
    <mergeCell ref="C38:J38"/>
    <mergeCell ref="C27:J27"/>
    <mergeCell ref="C28:J28"/>
    <mergeCell ref="C29:J29"/>
    <mergeCell ref="C31:J31"/>
    <mergeCell ref="C32:J32"/>
    <mergeCell ref="C22:J22"/>
    <mergeCell ref="C21:J21"/>
    <mergeCell ref="C33:J33"/>
    <mergeCell ref="C10:J10"/>
    <mergeCell ref="C11:J11"/>
    <mergeCell ref="C12:J12"/>
    <mergeCell ref="C42:J42"/>
    <mergeCell ref="C43:J43"/>
    <mergeCell ref="C44:J44"/>
    <mergeCell ref="C45:J45"/>
    <mergeCell ref="C39:J39"/>
    <mergeCell ref="C13:J13"/>
    <mergeCell ref="C14:J14"/>
    <mergeCell ref="C15:J15"/>
    <mergeCell ref="C23:J23"/>
    <mergeCell ref="C24:J24"/>
    <mergeCell ref="C25:J25"/>
    <mergeCell ref="C26:J26"/>
    <mergeCell ref="C16:J16"/>
    <mergeCell ref="C17:J17"/>
    <mergeCell ref="C18:J18"/>
    <mergeCell ref="C19:J19"/>
    <mergeCell ref="C20:J20"/>
  </mergeCells>
  <pageMargins left="0.7" right="0.7" top="0.75" bottom="0.75" header="0.3" footer="0.3"/>
  <pageSetup scale="5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44EF7-B1EB-4E27-82F9-10796ECABAF9}">
  <sheetPr>
    <pageSetUpPr fitToPage="1"/>
  </sheetPr>
  <dimension ref="B1:M62"/>
  <sheetViews>
    <sheetView showGridLines="0" zoomScale="85" zoomScaleNormal="85" workbookViewId="0">
      <pane ySplit="9" topLeftCell="A10" activePane="bottomLeft" state="frozen"/>
      <selection activeCell="D7" sqref="D7"/>
      <selection pane="bottomLeft" activeCell="D7" sqref="D7"/>
    </sheetView>
  </sheetViews>
  <sheetFormatPr defaultColWidth="11" defaultRowHeight="13.5"/>
  <cols>
    <col min="1" max="1" width="8.7109375" style="7" customWidth="1"/>
    <col min="2" max="2" width="1.85546875" style="7" customWidth="1"/>
    <col min="3" max="3" width="15.42578125" style="7" customWidth="1"/>
    <col min="4" max="4" width="42.85546875" style="7" customWidth="1"/>
    <col min="5" max="5" width="13.7109375" style="7" bestFit="1" customWidth="1"/>
    <col min="6" max="6" width="15.140625" style="7" bestFit="1" customWidth="1"/>
    <col min="7" max="7" width="10.42578125" style="7" customWidth="1"/>
    <col min="8" max="8" width="15.7109375" style="7" customWidth="1"/>
    <col min="9" max="9" width="15.28515625" style="7" customWidth="1"/>
    <col min="10" max="10" width="15.28515625" style="7" bestFit="1" customWidth="1"/>
    <col min="11" max="11" width="1.85546875" style="7" customWidth="1"/>
    <col min="12" max="12" width="11.140625" style="7" customWidth="1"/>
    <col min="13" max="13" width="24.28515625" style="7" bestFit="1" customWidth="1"/>
    <col min="14" max="14" width="10" style="7" bestFit="1" customWidth="1"/>
    <col min="15" max="15" width="10.42578125" style="7" bestFit="1" customWidth="1"/>
    <col min="16" max="16" width="18.28515625" style="7" bestFit="1" customWidth="1"/>
    <col min="17" max="16384" width="11" style="7"/>
  </cols>
  <sheetData>
    <row r="1" spans="2:13">
      <c r="M1" s="166" t="s">
        <v>207</v>
      </c>
    </row>
    <row r="2" spans="2:13" ht="15" customHeight="1" thickBot="1">
      <c r="C2" s="121" t="str">
        <f>'STEP 1 - PROJECT DATA'!D6&amp; "." &amp; 'STEP 1 - PROJECT DATA'!D7</f>
        <v>E26-123.0</v>
      </c>
      <c r="D2" s="3"/>
      <c r="E2" s="3"/>
      <c r="F2" s="3"/>
      <c r="G2" s="3"/>
      <c r="H2" s="3"/>
      <c r="I2" s="122" t="str">
        <f>'STEP 4 - ESTIMATE'!I2</f>
        <v>Bid Due Date</v>
      </c>
      <c r="J2" s="123">
        <f>'STEP 4 - ESTIMATE'!K2</f>
        <v>46010</v>
      </c>
      <c r="M2" s="167" t="s">
        <v>208</v>
      </c>
    </row>
    <row r="3" spans="2:13" ht="16.5">
      <c r="B3" s="8"/>
      <c r="C3" s="124" t="str">
        <f>'STEP 1 - PROJECT DATA'!C5</f>
        <v>Project Name</v>
      </c>
      <c r="D3" s="125" t="str">
        <f>'STEP 1 - PROJECT DATA'!D5</f>
        <v>Name</v>
      </c>
      <c r="E3" s="454" t="s">
        <v>767</v>
      </c>
      <c r="F3" s="454"/>
      <c r="G3" s="454"/>
      <c r="H3" s="446" t="str">
        <f>'STEP 1 - PROJECT DATA'!C10</f>
        <v>Expected Start</v>
      </c>
      <c r="I3" s="446"/>
      <c r="J3" s="126">
        <f>'STEP 4 - ESTIMATE'!K3</f>
        <v>46174</v>
      </c>
      <c r="K3" s="11"/>
      <c r="M3" s="168" t="s">
        <v>210</v>
      </c>
    </row>
    <row r="4" spans="2:13" ht="16.5">
      <c r="B4" s="12"/>
      <c r="C4" s="121" t="s">
        <v>17</v>
      </c>
      <c r="D4" s="3" t="str">
        <f>'STEP 1 - PROJECT DATA'!D8</f>
        <v>1234 Main St</v>
      </c>
      <c r="E4" s="455"/>
      <c r="F4" s="455"/>
      <c r="G4" s="455"/>
      <c r="H4" s="447" t="str">
        <f>'STEP 1 - PROJECT DATA'!C11</f>
        <v>Expected Finish</v>
      </c>
      <c r="I4" s="447"/>
      <c r="J4" s="127">
        <f>'STEP 4 - ESTIMATE'!K4</f>
        <v>46235</v>
      </c>
      <c r="K4" s="13"/>
    </row>
    <row r="5" spans="2:13" ht="16.5">
      <c r="B5" s="12"/>
      <c r="C5" s="121"/>
      <c r="D5" s="3" t="str">
        <f>'STEP 1 - PROJECT DATA'!D9</f>
        <v>Minneapolis, MN</v>
      </c>
      <c r="E5" s="3"/>
      <c r="H5" s="447" t="s">
        <v>18</v>
      </c>
      <c r="I5" s="447"/>
      <c r="J5" s="130">
        <f>'STEP 1 - PROJECT DATA'!D28</f>
        <v>2</v>
      </c>
      <c r="K5" s="13"/>
    </row>
    <row r="6" spans="2:13" ht="17.25" thickBot="1">
      <c r="B6" s="12"/>
      <c r="C6" s="121" t="str">
        <f>'STEP 1 - PROJECT DATA'!C13</f>
        <v>Architect</v>
      </c>
      <c r="D6" s="3" t="str">
        <f>'STEP 1 - PROJECT DATA'!D13</f>
        <v>TBD</v>
      </c>
      <c r="E6" s="3"/>
      <c r="F6" s="3"/>
      <c r="G6" s="3"/>
      <c r="H6" s="3"/>
      <c r="I6" s="3"/>
      <c r="J6" s="3"/>
      <c r="K6" s="13"/>
    </row>
    <row r="7" spans="2:13" ht="16.5">
      <c r="B7" s="12"/>
      <c r="C7" s="121" t="str">
        <f>'STEP 1 - PROJECT DATA'!C14</f>
        <v>Plan Set</v>
      </c>
      <c r="D7" s="3" t="str">
        <f>'STEP 1 - PROJECT DATA'!D14</f>
        <v>TBD</v>
      </c>
      <c r="E7" s="3"/>
      <c r="F7" s="3"/>
      <c r="G7" s="3"/>
      <c r="H7" s="3"/>
      <c r="I7" s="3"/>
      <c r="J7" s="131" t="s">
        <v>211</v>
      </c>
      <c r="K7" s="13"/>
    </row>
    <row r="8" spans="2:13" ht="17.25" thickBot="1">
      <c r="B8" s="12"/>
      <c r="C8" s="3"/>
      <c r="D8" s="3"/>
      <c r="E8" s="3"/>
      <c r="F8" s="3"/>
      <c r="G8" s="3"/>
      <c r="H8" s="3"/>
      <c r="I8" s="3"/>
      <c r="J8" s="132">
        <f>'STEP 1 - PROJECT DATA'!D12</f>
        <v>10</v>
      </c>
      <c r="K8" s="13"/>
    </row>
    <row r="9" spans="2:13" ht="17.25" thickBot="1">
      <c r="B9" s="12"/>
      <c r="C9" s="175" t="s">
        <v>212</v>
      </c>
      <c r="D9" s="176" t="s">
        <v>91</v>
      </c>
      <c r="E9" s="176" t="s">
        <v>213</v>
      </c>
      <c r="F9" s="176" t="s">
        <v>149</v>
      </c>
      <c r="G9" s="176" t="s">
        <v>150</v>
      </c>
      <c r="H9" s="176" t="s">
        <v>214</v>
      </c>
      <c r="I9" s="176" t="s">
        <v>178</v>
      </c>
      <c r="J9" s="187" t="s">
        <v>215</v>
      </c>
      <c r="K9" s="52"/>
    </row>
    <row r="10" spans="2:13" ht="16.5">
      <c r="B10" s="12"/>
      <c r="C10" s="476" t="s">
        <v>216</v>
      </c>
      <c r="D10" s="477" t="s">
        <v>217</v>
      </c>
      <c r="E10" s="177">
        <f>SUM(I11:I15)</f>
        <v>3464</v>
      </c>
      <c r="F10" s="180"/>
      <c r="G10" s="180"/>
      <c r="H10" s="180"/>
      <c r="I10" s="188"/>
      <c r="J10" s="189"/>
      <c r="K10" s="13"/>
    </row>
    <row r="11" spans="2:13" ht="14.1" customHeight="1">
      <c r="B11" s="12"/>
      <c r="C11" s="53"/>
      <c r="D11" s="54"/>
      <c r="E11" s="54"/>
      <c r="F11" s="174"/>
      <c r="G11" s="56"/>
      <c r="H11" s="172"/>
      <c r="I11" s="57"/>
      <c r="J11" s="58"/>
      <c r="K11" s="13"/>
    </row>
    <row r="12" spans="2:13" ht="14.1" customHeight="1">
      <c r="B12" s="12"/>
      <c r="C12" s="53" t="s">
        <v>218</v>
      </c>
      <c r="D12" s="54" t="s">
        <v>219</v>
      </c>
      <c r="E12" s="55">
        <v>1</v>
      </c>
      <c r="F12" s="173">
        <f t="shared" ref="F12:F14" si="0">$J$5*4.33*40*E12</f>
        <v>346.4</v>
      </c>
      <c r="G12" s="56" t="s">
        <v>220</v>
      </c>
      <c r="H12" s="172">
        <v>10</v>
      </c>
      <c r="I12" s="136">
        <f t="shared" ref="I12:I13" si="1">F12*H12</f>
        <v>3464</v>
      </c>
      <c r="J12" s="139">
        <f t="shared" ref="J12:J14" si="2">IF($J$8=0, 0, I12/$J$8)</f>
        <v>346.4</v>
      </c>
      <c r="K12" s="13"/>
    </row>
    <row r="13" spans="2:13" ht="14.1" customHeight="1">
      <c r="B13" s="12"/>
      <c r="C13" s="53" t="s">
        <v>221</v>
      </c>
      <c r="D13" s="54" t="s">
        <v>222</v>
      </c>
      <c r="E13" s="55">
        <v>0</v>
      </c>
      <c r="F13" s="173">
        <f t="shared" si="0"/>
        <v>0</v>
      </c>
      <c r="G13" s="56" t="s">
        <v>220</v>
      </c>
      <c r="H13" s="172">
        <v>10</v>
      </c>
      <c r="I13" s="136">
        <f t="shared" si="1"/>
        <v>0</v>
      </c>
      <c r="J13" s="139">
        <f t="shared" si="2"/>
        <v>0</v>
      </c>
      <c r="K13" s="13"/>
    </row>
    <row r="14" spans="2:13" ht="14.1" customHeight="1">
      <c r="B14" s="12"/>
      <c r="C14" s="53" t="s">
        <v>223</v>
      </c>
      <c r="D14" s="54" t="s">
        <v>224</v>
      </c>
      <c r="E14" s="55">
        <v>0</v>
      </c>
      <c r="F14" s="173">
        <f t="shared" si="0"/>
        <v>0</v>
      </c>
      <c r="G14" s="56" t="s">
        <v>220</v>
      </c>
      <c r="H14" s="172">
        <v>10</v>
      </c>
      <c r="I14" s="136">
        <f>F14*H14</f>
        <v>0</v>
      </c>
      <c r="J14" s="139">
        <f t="shared" si="2"/>
        <v>0</v>
      </c>
      <c r="K14" s="13"/>
    </row>
    <row r="15" spans="2:13" ht="14.1" customHeight="1" thickBot="1">
      <c r="B15" s="12"/>
      <c r="C15" s="53"/>
      <c r="D15" s="54"/>
      <c r="E15" s="54"/>
      <c r="F15" s="174"/>
      <c r="G15" s="56"/>
      <c r="H15" s="172"/>
      <c r="I15" s="57"/>
      <c r="J15" s="58"/>
      <c r="K15" s="13"/>
    </row>
    <row r="16" spans="2:13" ht="16.5">
      <c r="B16" s="12"/>
      <c r="C16" s="443" t="s">
        <v>238</v>
      </c>
      <c r="D16" s="444" t="s">
        <v>217</v>
      </c>
      <c r="E16" s="177">
        <f>SUM(I17:I23)</f>
        <v>0</v>
      </c>
      <c r="F16" s="180"/>
      <c r="G16" s="180"/>
      <c r="H16" s="180"/>
      <c r="I16" s="188"/>
      <c r="J16" s="189"/>
      <c r="K16" s="13"/>
    </row>
    <row r="17" spans="2:11" ht="14.1" customHeight="1">
      <c r="B17" s="12"/>
      <c r="C17" s="53"/>
      <c r="D17" s="54"/>
      <c r="E17" s="54"/>
      <c r="F17" s="174"/>
      <c r="G17" s="56"/>
      <c r="H17" s="172"/>
      <c r="I17" s="57"/>
      <c r="J17" s="58"/>
      <c r="K17" s="13"/>
    </row>
    <row r="18" spans="2:11" ht="14.1" customHeight="1">
      <c r="B18" s="12"/>
      <c r="C18" s="53" t="s">
        <v>240</v>
      </c>
      <c r="D18" s="54" t="s">
        <v>241</v>
      </c>
      <c r="E18" s="55">
        <v>0</v>
      </c>
      <c r="F18" s="173">
        <f t="shared" ref="F18:F19" si="3">$J$5*4.33*40*E18</f>
        <v>0</v>
      </c>
      <c r="G18" s="56" t="s">
        <v>220</v>
      </c>
      <c r="H18" s="172">
        <v>10</v>
      </c>
      <c r="I18" s="136">
        <f>F18*H18</f>
        <v>0</v>
      </c>
      <c r="J18" s="142">
        <f>IF($J$8=0, 0, I18/$J$8)</f>
        <v>0</v>
      </c>
      <c r="K18" s="13"/>
    </row>
    <row r="19" spans="2:11" ht="14.1" customHeight="1">
      <c r="B19" s="12"/>
      <c r="C19" s="53" t="s">
        <v>242</v>
      </c>
      <c r="D19" s="54" t="s">
        <v>243</v>
      </c>
      <c r="E19" s="55">
        <v>0</v>
      </c>
      <c r="F19" s="173">
        <f t="shared" si="3"/>
        <v>0</v>
      </c>
      <c r="G19" s="56" t="s">
        <v>220</v>
      </c>
      <c r="H19" s="172">
        <v>10</v>
      </c>
      <c r="I19" s="136">
        <f>F19*H19</f>
        <v>0</v>
      </c>
      <c r="J19" s="142">
        <f>IF($J$8=0, 0, I19/$J$8)</f>
        <v>0</v>
      </c>
      <c r="K19" s="13"/>
    </row>
    <row r="20" spans="2:11" ht="14.1" customHeight="1">
      <c r="B20" s="12"/>
      <c r="C20" s="53" t="s">
        <v>244</v>
      </c>
      <c r="D20" s="54" t="s">
        <v>245</v>
      </c>
      <c r="E20" s="55">
        <v>0</v>
      </c>
      <c r="F20" s="173">
        <f>$J$5*4.33*40*E20</f>
        <v>0</v>
      </c>
      <c r="G20" s="56" t="s">
        <v>220</v>
      </c>
      <c r="H20" s="172">
        <v>10</v>
      </c>
      <c r="I20" s="136">
        <f>F20*H20</f>
        <v>0</v>
      </c>
      <c r="J20" s="142">
        <f>IF($J$8=0, 0, I20/$J$8)</f>
        <v>0</v>
      </c>
      <c r="K20" s="13"/>
    </row>
    <row r="21" spans="2:11" ht="14.1" customHeight="1">
      <c r="B21" s="12"/>
      <c r="C21" s="53" t="s">
        <v>246</v>
      </c>
      <c r="D21" s="54" t="s">
        <v>247</v>
      </c>
      <c r="E21" s="55">
        <v>0</v>
      </c>
      <c r="F21" s="173">
        <f t="shared" ref="F21:F22" si="4">$J$5*4.33*40*E21</f>
        <v>0</v>
      </c>
      <c r="G21" s="56" t="s">
        <v>220</v>
      </c>
      <c r="H21" s="172">
        <v>10</v>
      </c>
      <c r="I21" s="136">
        <f>F21*H21</f>
        <v>0</v>
      </c>
      <c r="J21" s="142">
        <f>IF($J$8=0, 0, I21/$J$8)</f>
        <v>0</v>
      </c>
      <c r="K21" s="13"/>
    </row>
    <row r="22" spans="2:11" ht="14.1" customHeight="1">
      <c r="B22" s="12"/>
      <c r="C22" s="53" t="s">
        <v>248</v>
      </c>
      <c r="D22" s="54" t="s">
        <v>249</v>
      </c>
      <c r="E22" s="55">
        <v>0</v>
      </c>
      <c r="F22" s="173">
        <f t="shared" si="4"/>
        <v>0</v>
      </c>
      <c r="G22" s="56" t="s">
        <v>220</v>
      </c>
      <c r="H22" s="172">
        <v>10</v>
      </c>
      <c r="I22" s="136">
        <f>F22*H22</f>
        <v>0</v>
      </c>
      <c r="J22" s="142">
        <f>IF($J$8=0, 0, I22/$J$8)</f>
        <v>0</v>
      </c>
      <c r="K22" s="13"/>
    </row>
    <row r="23" spans="2:11" ht="14.1" customHeight="1" thickBot="1">
      <c r="B23" s="12"/>
      <c r="C23" s="53"/>
      <c r="D23" s="54"/>
      <c r="E23" s="54"/>
      <c r="F23" s="174"/>
      <c r="G23" s="56"/>
      <c r="H23" s="172"/>
      <c r="I23" s="57"/>
      <c r="J23" s="58"/>
      <c r="K23" s="13"/>
    </row>
    <row r="24" spans="2:11" ht="16.5">
      <c r="B24" s="12"/>
      <c r="C24" s="443" t="s">
        <v>768</v>
      </c>
      <c r="D24" s="444" t="s">
        <v>217</v>
      </c>
      <c r="E24" s="177">
        <f>SUM(I25:I35)</f>
        <v>1701.69</v>
      </c>
      <c r="F24" s="180"/>
      <c r="G24" s="180"/>
      <c r="H24" s="180"/>
      <c r="I24" s="188"/>
      <c r="J24" s="189"/>
      <c r="K24" s="13"/>
    </row>
    <row r="25" spans="2:11" ht="14.1" customHeight="1">
      <c r="B25" s="12"/>
      <c r="C25" s="53"/>
      <c r="D25" s="54"/>
      <c r="E25" s="54"/>
      <c r="F25" s="174"/>
      <c r="G25" s="56"/>
      <c r="H25" s="172"/>
      <c r="I25" s="57"/>
      <c r="J25" s="58"/>
      <c r="K25" s="13"/>
    </row>
    <row r="26" spans="2:11" ht="14.1" customHeight="1">
      <c r="B26" s="12"/>
      <c r="C26" s="53" t="s">
        <v>259</v>
      </c>
      <c r="D26" s="54" t="s">
        <v>260</v>
      </c>
      <c r="E26" s="302"/>
      <c r="F26" s="173"/>
      <c r="G26" s="56"/>
      <c r="H26" s="172"/>
      <c r="I26" s="136"/>
      <c r="J26" s="139"/>
      <c r="K26" s="13"/>
    </row>
    <row r="27" spans="2:11" ht="14.1" customHeight="1">
      <c r="B27" s="12"/>
      <c r="C27" s="53"/>
      <c r="D27" s="81" t="s">
        <v>219</v>
      </c>
      <c r="E27" s="55">
        <v>1</v>
      </c>
      <c r="F27" s="173">
        <f t="shared" ref="F27:F34" si="5">$J$5*4.33*2*$D$60*E27</f>
        <v>2598</v>
      </c>
      <c r="G27" s="56" t="s">
        <v>769</v>
      </c>
      <c r="H27" s="172">
        <v>0.65500000000000003</v>
      </c>
      <c r="I27" s="136">
        <f t="shared" ref="I27:I28" si="6">F27*H27</f>
        <v>1701.69</v>
      </c>
      <c r="J27" s="139">
        <f t="shared" ref="J27:J29" si="7">IF($J$8=0, 0, I27/$J$8)</f>
        <v>170.16900000000001</v>
      </c>
      <c r="K27" s="13"/>
    </row>
    <row r="28" spans="2:11" ht="14.1" customHeight="1">
      <c r="B28" s="12"/>
      <c r="C28" s="53"/>
      <c r="D28" s="81" t="s">
        <v>222</v>
      </c>
      <c r="E28" s="55">
        <v>0</v>
      </c>
      <c r="F28" s="173">
        <f t="shared" si="5"/>
        <v>0</v>
      </c>
      <c r="G28" s="56" t="s">
        <v>769</v>
      </c>
      <c r="H28" s="172">
        <v>0.65500000000000003</v>
      </c>
      <c r="I28" s="136">
        <f t="shared" si="6"/>
        <v>0</v>
      </c>
      <c r="J28" s="139">
        <f t="shared" si="7"/>
        <v>0</v>
      </c>
      <c r="K28" s="13"/>
    </row>
    <row r="29" spans="2:11" ht="14.1" customHeight="1">
      <c r="B29" s="12"/>
      <c r="C29" s="53"/>
      <c r="D29" s="81" t="s">
        <v>224</v>
      </c>
      <c r="E29" s="55">
        <v>0</v>
      </c>
      <c r="F29" s="173">
        <f t="shared" si="5"/>
        <v>0</v>
      </c>
      <c r="G29" s="56" t="s">
        <v>769</v>
      </c>
      <c r="H29" s="172">
        <v>0.65500000000000003</v>
      </c>
      <c r="I29" s="136">
        <f t="shared" ref="I29:I34" si="8">F29*H29</f>
        <v>0</v>
      </c>
      <c r="J29" s="139">
        <f t="shared" si="7"/>
        <v>0</v>
      </c>
      <c r="K29" s="13"/>
    </row>
    <row r="30" spans="2:11" ht="14.1" customHeight="1">
      <c r="B30" s="12"/>
      <c r="C30" s="53"/>
      <c r="D30" s="81" t="s">
        <v>241</v>
      </c>
      <c r="E30" s="55">
        <v>0</v>
      </c>
      <c r="F30" s="173">
        <f t="shared" si="5"/>
        <v>0</v>
      </c>
      <c r="G30" s="56" t="s">
        <v>769</v>
      </c>
      <c r="H30" s="172">
        <v>0.65500000000000003</v>
      </c>
      <c r="I30" s="136">
        <f t="shared" si="8"/>
        <v>0</v>
      </c>
      <c r="J30" s="142">
        <f>IF($J$8=0, 0, I30/$J$8)</f>
        <v>0</v>
      </c>
      <c r="K30" s="13"/>
    </row>
    <row r="31" spans="2:11" ht="14.1" customHeight="1">
      <c r="B31" s="12"/>
      <c r="C31" s="53"/>
      <c r="D31" s="81" t="s">
        <v>243</v>
      </c>
      <c r="E31" s="55">
        <v>0</v>
      </c>
      <c r="F31" s="173">
        <f t="shared" si="5"/>
        <v>0</v>
      </c>
      <c r="G31" s="56" t="s">
        <v>769</v>
      </c>
      <c r="H31" s="172">
        <v>0.65500000000000003</v>
      </c>
      <c r="I31" s="136">
        <f t="shared" si="8"/>
        <v>0</v>
      </c>
      <c r="J31" s="142">
        <f>IF($J$8=0, 0, I31/$J$8)</f>
        <v>0</v>
      </c>
      <c r="K31" s="13"/>
    </row>
    <row r="32" spans="2:11" ht="14.1" customHeight="1">
      <c r="B32" s="12"/>
      <c r="C32" s="53"/>
      <c r="D32" s="81" t="s">
        <v>245</v>
      </c>
      <c r="E32" s="55">
        <v>0</v>
      </c>
      <c r="F32" s="173">
        <f t="shared" si="5"/>
        <v>0</v>
      </c>
      <c r="G32" s="56" t="s">
        <v>769</v>
      </c>
      <c r="H32" s="172">
        <v>0.65500000000000003</v>
      </c>
      <c r="I32" s="136">
        <f t="shared" si="8"/>
        <v>0</v>
      </c>
      <c r="J32" s="142">
        <f>IF($J$8=0, 0, I32/$J$8)</f>
        <v>0</v>
      </c>
      <c r="K32" s="13"/>
    </row>
    <row r="33" spans="2:11" ht="14.1" customHeight="1">
      <c r="B33" s="12"/>
      <c r="C33" s="53"/>
      <c r="D33" s="81" t="s">
        <v>247</v>
      </c>
      <c r="E33" s="55">
        <v>0</v>
      </c>
      <c r="F33" s="173">
        <f t="shared" si="5"/>
        <v>0</v>
      </c>
      <c r="G33" s="56" t="s">
        <v>769</v>
      </c>
      <c r="H33" s="172">
        <v>0.65500000000000003</v>
      </c>
      <c r="I33" s="136">
        <f t="shared" si="8"/>
        <v>0</v>
      </c>
      <c r="J33" s="142">
        <f>IF($J$8=0, 0, I33/$J$8)</f>
        <v>0</v>
      </c>
      <c r="K33" s="13"/>
    </row>
    <row r="34" spans="2:11" ht="14.1" customHeight="1">
      <c r="B34" s="12"/>
      <c r="C34" s="53"/>
      <c r="D34" s="81" t="s">
        <v>249</v>
      </c>
      <c r="E34" s="55">
        <v>0</v>
      </c>
      <c r="F34" s="173">
        <f t="shared" si="5"/>
        <v>0</v>
      </c>
      <c r="G34" s="56" t="s">
        <v>769</v>
      </c>
      <c r="H34" s="172">
        <v>0.65500000000000003</v>
      </c>
      <c r="I34" s="136">
        <f t="shared" si="8"/>
        <v>0</v>
      </c>
      <c r="J34" s="142">
        <f>IF($J$8=0, 0, I34/$J$8)</f>
        <v>0</v>
      </c>
      <c r="K34" s="13"/>
    </row>
    <row r="35" spans="2:11" ht="14.1" customHeight="1" thickBot="1">
      <c r="B35" s="12"/>
      <c r="C35" s="53"/>
      <c r="D35" s="54"/>
      <c r="E35" s="54"/>
      <c r="F35" s="174"/>
      <c r="G35" s="56"/>
      <c r="H35" s="172"/>
      <c r="I35" s="57"/>
      <c r="J35" s="58"/>
      <c r="K35" s="13"/>
    </row>
    <row r="36" spans="2:11" ht="16.5">
      <c r="B36" s="12"/>
      <c r="C36" s="443" t="s">
        <v>770</v>
      </c>
      <c r="D36" s="444" t="s">
        <v>217</v>
      </c>
      <c r="E36" s="177">
        <f>SUM(I37:I47)</f>
        <v>6495</v>
      </c>
      <c r="F36" s="180"/>
      <c r="G36" s="180"/>
      <c r="H36" s="180"/>
      <c r="I36" s="188"/>
      <c r="J36" s="189"/>
      <c r="K36" s="13"/>
    </row>
    <row r="37" spans="2:11" ht="14.1" customHeight="1">
      <c r="B37" s="12"/>
      <c r="C37" s="53"/>
      <c r="D37" s="54"/>
      <c r="E37" s="54"/>
      <c r="F37" s="174"/>
      <c r="G37" s="56"/>
      <c r="H37" s="172"/>
      <c r="I37" s="57"/>
      <c r="J37" s="58"/>
      <c r="K37" s="13"/>
    </row>
    <row r="38" spans="2:11" ht="14.1" customHeight="1">
      <c r="B38" s="12"/>
      <c r="C38" s="53" t="s">
        <v>261</v>
      </c>
      <c r="D38" s="54" t="s">
        <v>262</v>
      </c>
      <c r="E38" s="55"/>
      <c r="F38" s="173"/>
      <c r="G38" s="56"/>
      <c r="H38" s="172"/>
      <c r="I38" s="136"/>
      <c r="J38" s="139"/>
      <c r="K38" s="13"/>
    </row>
    <row r="39" spans="2:11" ht="14.1" customHeight="1">
      <c r="B39" s="12"/>
      <c r="C39" s="53"/>
      <c r="D39" s="81" t="s">
        <v>219</v>
      </c>
      <c r="E39" s="55">
        <v>1</v>
      </c>
      <c r="F39" s="173">
        <f t="shared" ref="F39:F46" si="9">$J$5*4.33*5*E39</f>
        <v>43.3</v>
      </c>
      <c r="G39" s="56" t="s">
        <v>771</v>
      </c>
      <c r="H39" s="172">
        <v>150</v>
      </c>
      <c r="I39" s="136">
        <f>F39*H39</f>
        <v>6495</v>
      </c>
      <c r="J39" s="142">
        <f>IF($J$8=0, 0, I39/$J$8)</f>
        <v>649.5</v>
      </c>
      <c r="K39" s="13"/>
    </row>
    <row r="40" spans="2:11" ht="14.1" customHeight="1">
      <c r="B40" s="12"/>
      <c r="C40" s="53"/>
      <c r="D40" s="81" t="s">
        <v>222</v>
      </c>
      <c r="E40" s="55">
        <v>0</v>
      </c>
      <c r="F40" s="173">
        <f t="shared" si="9"/>
        <v>0</v>
      </c>
      <c r="G40" s="56" t="s">
        <v>771</v>
      </c>
      <c r="H40" s="172">
        <v>150</v>
      </c>
      <c r="I40" s="136">
        <f>F40*H40</f>
        <v>0</v>
      </c>
      <c r="J40" s="142">
        <f>IF($J$8=0, 0, I40/$J$8)</f>
        <v>0</v>
      </c>
      <c r="K40" s="13"/>
    </row>
    <row r="41" spans="2:11" ht="14.1" customHeight="1">
      <c r="B41" s="12"/>
      <c r="C41" s="53"/>
      <c r="D41" s="81" t="s">
        <v>224</v>
      </c>
      <c r="E41" s="55">
        <v>0</v>
      </c>
      <c r="F41" s="173">
        <f t="shared" si="9"/>
        <v>0</v>
      </c>
      <c r="G41" s="56" t="s">
        <v>771</v>
      </c>
      <c r="H41" s="172">
        <v>150</v>
      </c>
      <c r="I41" s="136">
        <f>F41*H41</f>
        <v>0</v>
      </c>
      <c r="J41" s="142">
        <f>IF($J$8=0, 0, I41/$J$8)</f>
        <v>0</v>
      </c>
      <c r="K41" s="13"/>
    </row>
    <row r="42" spans="2:11" ht="14.1" customHeight="1">
      <c r="B42" s="12"/>
      <c r="C42" s="53"/>
      <c r="D42" s="81" t="s">
        <v>241</v>
      </c>
      <c r="E42" s="55">
        <v>0</v>
      </c>
      <c r="F42" s="173">
        <f t="shared" si="9"/>
        <v>0</v>
      </c>
      <c r="G42" s="56" t="s">
        <v>771</v>
      </c>
      <c r="H42" s="172">
        <v>150</v>
      </c>
      <c r="I42" s="136">
        <f>F42*H42</f>
        <v>0</v>
      </c>
      <c r="J42" s="142">
        <f>IF($J$8=0, 0, I42/$J$8)</f>
        <v>0</v>
      </c>
      <c r="K42" s="13"/>
    </row>
    <row r="43" spans="2:11" ht="14.1" customHeight="1">
      <c r="B43" s="12"/>
      <c r="C43" s="53"/>
      <c r="D43" s="81" t="s">
        <v>243</v>
      </c>
      <c r="E43" s="55">
        <v>0</v>
      </c>
      <c r="F43" s="173">
        <f t="shared" si="9"/>
        <v>0</v>
      </c>
      <c r="G43" s="56" t="s">
        <v>771</v>
      </c>
      <c r="H43" s="172">
        <v>150</v>
      </c>
      <c r="I43" s="136">
        <f>F43*H43</f>
        <v>0</v>
      </c>
      <c r="J43" s="142">
        <f>IF($J$8=0, 0, I43/$J$8)</f>
        <v>0</v>
      </c>
      <c r="K43" s="13"/>
    </row>
    <row r="44" spans="2:11" ht="14.1" customHeight="1">
      <c r="B44" s="12"/>
      <c r="C44" s="53"/>
      <c r="D44" s="81" t="s">
        <v>245</v>
      </c>
      <c r="E44" s="55">
        <v>0</v>
      </c>
      <c r="F44" s="173">
        <f t="shared" si="9"/>
        <v>0</v>
      </c>
      <c r="G44" s="56" t="s">
        <v>771</v>
      </c>
      <c r="H44" s="172">
        <v>150</v>
      </c>
      <c r="I44" s="136">
        <f t="shared" ref="I44:I45" si="10">F44*H44</f>
        <v>0</v>
      </c>
      <c r="J44" s="139">
        <f t="shared" ref="J44:J46" si="11">IF($J$8=0, 0, I44/$J$8)</f>
        <v>0</v>
      </c>
      <c r="K44" s="13"/>
    </row>
    <row r="45" spans="2:11" ht="14.1" customHeight="1">
      <c r="B45" s="12"/>
      <c r="C45" s="53"/>
      <c r="D45" s="81" t="s">
        <v>247</v>
      </c>
      <c r="E45" s="55">
        <v>0</v>
      </c>
      <c r="F45" s="173">
        <f t="shared" si="9"/>
        <v>0</v>
      </c>
      <c r="G45" s="56" t="s">
        <v>771</v>
      </c>
      <c r="H45" s="172">
        <v>150</v>
      </c>
      <c r="I45" s="136">
        <f t="shared" si="10"/>
        <v>0</v>
      </c>
      <c r="J45" s="139">
        <f t="shared" si="11"/>
        <v>0</v>
      </c>
      <c r="K45" s="13"/>
    </row>
    <row r="46" spans="2:11" ht="14.1" customHeight="1">
      <c r="B46" s="12"/>
      <c r="C46" s="53"/>
      <c r="D46" s="81" t="s">
        <v>249</v>
      </c>
      <c r="E46" s="55">
        <v>0</v>
      </c>
      <c r="F46" s="173">
        <f t="shared" si="9"/>
        <v>0</v>
      </c>
      <c r="G46" s="56" t="s">
        <v>771</v>
      </c>
      <c r="H46" s="172">
        <v>150</v>
      </c>
      <c r="I46" s="136">
        <f>F46*H46</f>
        <v>0</v>
      </c>
      <c r="J46" s="139">
        <f t="shared" si="11"/>
        <v>0</v>
      </c>
      <c r="K46" s="13"/>
    </row>
    <row r="47" spans="2:11" ht="14.1" customHeight="1">
      <c r="B47" s="12"/>
      <c r="C47" s="53"/>
      <c r="D47" s="54"/>
      <c r="E47" s="54"/>
      <c r="F47" s="174"/>
      <c r="G47" s="56"/>
      <c r="H47" s="172"/>
      <c r="I47" s="57"/>
      <c r="J47" s="58"/>
      <c r="K47" s="13"/>
    </row>
    <row r="48" spans="2:11" ht="19.5" thickBot="1">
      <c r="B48" s="12"/>
      <c r="C48" s="59"/>
      <c r="D48" s="60"/>
      <c r="E48" s="60"/>
      <c r="F48" s="61"/>
      <c r="G48" s="62"/>
      <c r="H48" s="63" t="s">
        <v>772</v>
      </c>
      <c r="I48" s="140">
        <f>SUM(I11:I47)</f>
        <v>11660.69</v>
      </c>
      <c r="J48" s="141">
        <f>IF($J$8=0, 0, I48/$J$8)</f>
        <v>1166.069</v>
      </c>
      <c r="K48" s="66"/>
    </row>
    <row r="49" spans="2:11" ht="14.25" thickBot="1">
      <c r="B49" s="38"/>
      <c r="C49" s="39"/>
      <c r="D49" s="39"/>
      <c r="E49" s="39"/>
      <c r="F49" s="39"/>
      <c r="G49" s="39"/>
      <c r="H49" s="39"/>
      <c r="I49" s="39"/>
      <c r="J49" s="39"/>
      <c r="K49" s="40"/>
    </row>
    <row r="50" spans="2:11" ht="9.6" customHeight="1"/>
    <row r="51" spans="2:11" ht="14.25" thickBot="1"/>
    <row r="52" spans="2:11" ht="12.6" customHeight="1" thickBot="1">
      <c r="C52" s="462" t="s">
        <v>22</v>
      </c>
      <c r="D52" s="463"/>
    </row>
    <row r="53" spans="2:11" ht="12.6" customHeight="1">
      <c r="C53" s="22" t="s">
        <v>27</v>
      </c>
      <c r="D53" s="303" t="str">
        <f>'STEP 1 - PROJECT DATA'!D5</f>
        <v>Name</v>
      </c>
    </row>
    <row r="54" spans="2:11" ht="12.6" customHeight="1">
      <c r="C54" s="15" t="s">
        <v>33</v>
      </c>
      <c r="D54" s="304" t="str">
        <f>'STEP 1 - PROJECT DATA'!D6</f>
        <v>E26-123</v>
      </c>
    </row>
    <row r="55" spans="2:11" ht="12.95" customHeight="1">
      <c r="C55" s="15" t="s">
        <v>39</v>
      </c>
      <c r="D55" s="304">
        <f>'STEP 1 - PROJECT DATA'!D7</f>
        <v>0</v>
      </c>
    </row>
    <row r="56" spans="2:11">
      <c r="C56" s="15" t="s">
        <v>43</v>
      </c>
      <c r="D56" s="304" t="str">
        <f>'STEP 1 - PROJECT DATA'!D8</f>
        <v>1234 Main St</v>
      </c>
    </row>
    <row r="57" spans="2:11">
      <c r="C57" s="15" t="s">
        <v>48</v>
      </c>
      <c r="D57" s="304" t="str">
        <f>'STEP 1 - PROJECT DATA'!D9</f>
        <v>Minneapolis, MN</v>
      </c>
    </row>
    <row r="58" spans="2:11">
      <c r="C58" s="15" t="s">
        <v>54</v>
      </c>
      <c r="D58" s="305">
        <f>'STEP 1 - PROJECT DATA'!D10</f>
        <v>46174</v>
      </c>
    </row>
    <row r="59" spans="2:11">
      <c r="C59" s="15" t="s">
        <v>58</v>
      </c>
      <c r="D59" s="305">
        <f>'STEP 1 - PROJECT DATA'!D11</f>
        <v>46235</v>
      </c>
    </row>
    <row r="60" spans="2:11" ht="12.75" customHeight="1">
      <c r="C60" s="15" t="s">
        <v>773</v>
      </c>
      <c r="D60" s="358">
        <v>150</v>
      </c>
      <c r="E60" s="301" t="str">
        <f>HYPERLINK("https://www.google.com/maps/dir/" &amp; SUBSTITUTE(D56, " ", "+") &amp; "/" &amp; SUBSTITUTE('STEP 1 - PROJECT DATA'!D21, " ", "+"), "Get Directions")</f>
        <v>Get Directions</v>
      </c>
    </row>
    <row r="61" spans="2:11">
      <c r="C61" s="15" t="s">
        <v>767</v>
      </c>
      <c r="D61" s="305" t="str">
        <f>IF(D60&gt;90, "Yes", "No")</f>
        <v>Yes</v>
      </c>
    </row>
    <row r="62" spans="2:11" ht="14.25" thickBot="1">
      <c r="C62" s="18" t="s">
        <v>774</v>
      </c>
      <c r="D62" s="306" t="str">
        <f>IF(D60&gt;90, "Yes", "No")</f>
        <v>Yes</v>
      </c>
    </row>
  </sheetData>
  <sheetProtection sheet="1" formatCells="0" formatColumns="0" formatRows="0" insertColumns="0" insertRows="0" insertHyperlinks="0" deleteColumns="0" deleteRows="0" sort="0" autoFilter="0" pivotTables="0"/>
  <autoFilter ref="B9:J48" xr:uid="{0791C900-15D5-48D9-8FCB-ED7387820D44}"/>
  <mergeCells count="9">
    <mergeCell ref="C36:D36"/>
    <mergeCell ref="C52:D52"/>
    <mergeCell ref="C24:D24"/>
    <mergeCell ref="E3:G4"/>
    <mergeCell ref="H3:I3"/>
    <mergeCell ref="H4:I4"/>
    <mergeCell ref="H5:I5"/>
    <mergeCell ref="C10:D10"/>
    <mergeCell ref="C16:D16"/>
  </mergeCells>
  <conditionalFormatting sqref="J54">
    <cfRule type="expression" dxfId="1" priority="1">
      <formula>$J$54&gt;0.04</formula>
    </cfRule>
  </conditionalFormatting>
  <conditionalFormatting sqref="L54">
    <cfRule type="expression" dxfId="0" priority="2">
      <formula>$J$54&gt;0.04</formula>
    </cfRule>
  </conditionalFormatting>
  <pageMargins left="0.7" right="0.7" top="0.75" bottom="0.75" header="0.3" footer="0.3"/>
  <pageSetup scale="6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AD751-496E-4383-A8C2-096DEEF077F2}">
  <sheetPr>
    <pageSetUpPr fitToPage="1"/>
  </sheetPr>
  <dimension ref="A1:Q66"/>
  <sheetViews>
    <sheetView zoomScaleNormal="100" workbookViewId="0">
      <selection activeCell="D7" sqref="D7"/>
    </sheetView>
  </sheetViews>
  <sheetFormatPr defaultColWidth="9.140625" defaultRowHeight="15"/>
  <cols>
    <col min="1" max="1" width="9.140625" style="212"/>
    <col min="2" max="2" width="9.140625" style="212" customWidth="1"/>
    <col min="3" max="3" width="10" style="212" customWidth="1"/>
    <col min="4" max="4" width="19.28515625" style="212" customWidth="1"/>
    <col min="5" max="5" width="20.7109375" style="212" customWidth="1"/>
    <col min="6" max="6" width="1.85546875" style="212" customWidth="1"/>
    <col min="7" max="7" width="6.28515625" style="212" customWidth="1"/>
    <col min="8" max="8" width="9.140625" style="212"/>
    <col min="9" max="9" width="9.140625" style="212" customWidth="1"/>
    <col min="10" max="10" width="10" style="212" customWidth="1"/>
    <col min="11" max="11" width="19.28515625" style="212" customWidth="1"/>
    <col min="12" max="12" width="20.7109375" style="212" customWidth="1"/>
    <col min="13" max="13" width="43.140625" style="212" customWidth="1"/>
    <col min="14" max="14" width="21.85546875" style="212" customWidth="1"/>
    <col min="15" max="15" width="9.140625" style="212"/>
    <col min="16" max="16" width="43.140625" style="212" customWidth="1"/>
    <col min="17" max="17" width="21.85546875" style="212" customWidth="1"/>
    <col min="18" max="16384" width="9.140625" style="212"/>
  </cols>
  <sheetData>
    <row r="1" spans="1:17">
      <c r="E1" s="213" t="s">
        <v>775</v>
      </c>
    </row>
    <row r="2" spans="1:17">
      <c r="E2" s="213" t="s">
        <v>776</v>
      </c>
    </row>
    <row r="3" spans="1:17">
      <c r="E3" s="213" t="s">
        <v>777</v>
      </c>
    </row>
    <row r="4" spans="1:17">
      <c r="E4" s="213" t="s">
        <v>778</v>
      </c>
      <c r="G4" s="500"/>
      <c r="H4" s="500"/>
      <c r="I4" s="214"/>
      <c r="J4" s="214"/>
      <c r="K4" s="214"/>
      <c r="L4" s="214"/>
      <c r="M4" s="214"/>
    </row>
    <row r="5" spans="1:17">
      <c r="E5" s="213" t="s">
        <v>779</v>
      </c>
      <c r="G5" s="215"/>
      <c r="L5" s="213"/>
    </row>
    <row r="6" spans="1:17">
      <c r="E6" s="213"/>
      <c r="L6" s="213"/>
    </row>
    <row r="7" spans="1:17">
      <c r="D7" s="216" t="s">
        <v>780</v>
      </c>
      <c r="E7" s="216"/>
      <c r="F7" s="216"/>
      <c r="G7" s="216"/>
      <c r="K7" s="216" t="s">
        <v>781</v>
      </c>
      <c r="L7" s="216"/>
      <c r="M7" s="216"/>
      <c r="P7" s="216"/>
    </row>
    <row r="8" spans="1:17" ht="8.1" customHeight="1">
      <c r="D8" s="216"/>
      <c r="E8" s="216"/>
      <c r="F8" s="216"/>
      <c r="G8" s="216"/>
      <c r="K8" s="216"/>
      <c r="L8" s="216"/>
    </row>
    <row r="9" spans="1:17">
      <c r="A9" s="217" t="s">
        <v>782</v>
      </c>
      <c r="C9" s="218">
        <v>1</v>
      </c>
      <c r="D9" s="217" t="s">
        <v>92</v>
      </c>
      <c r="E9" s="216"/>
      <c r="F9" s="216"/>
      <c r="G9" s="216"/>
      <c r="H9" s="217" t="s">
        <v>782</v>
      </c>
      <c r="J9" s="218">
        <v>1</v>
      </c>
      <c r="K9" s="217" t="s">
        <v>92</v>
      </c>
      <c r="L9" s="216"/>
    </row>
    <row r="10" spans="1:17">
      <c r="A10" s="217" t="s">
        <v>783</v>
      </c>
      <c r="C10" s="219">
        <v>7.1249999999999994E-2</v>
      </c>
      <c r="D10" s="217" t="s">
        <v>784</v>
      </c>
      <c r="E10" s="216"/>
      <c r="F10" s="216"/>
      <c r="G10" s="216"/>
      <c r="H10" s="217" t="s">
        <v>783</v>
      </c>
      <c r="J10" s="219">
        <v>7.1249999999999994E-2</v>
      </c>
      <c r="K10" s="217" t="s">
        <v>784</v>
      </c>
      <c r="L10" s="216"/>
    </row>
    <row r="11" spans="1:17" ht="8.1" customHeight="1" thickBot="1">
      <c r="A11" s="216"/>
      <c r="D11" s="216"/>
      <c r="E11" s="220"/>
      <c r="F11" s="216"/>
      <c r="G11" s="216"/>
      <c r="H11" s="216"/>
      <c r="K11" s="216"/>
      <c r="L11" s="220"/>
    </row>
    <row r="12" spans="1:17" ht="16.5" thickTop="1" thickBot="1">
      <c r="A12" s="221" t="s">
        <v>785</v>
      </c>
      <c r="B12" s="222"/>
      <c r="C12" s="222"/>
      <c r="D12" s="223"/>
      <c r="E12" s="224" t="s">
        <v>786</v>
      </c>
      <c r="F12" s="220"/>
      <c r="G12" s="220"/>
      <c r="H12" s="221" t="s">
        <v>785</v>
      </c>
      <c r="I12" s="222"/>
      <c r="J12" s="222"/>
      <c r="K12" s="223"/>
      <c r="L12" s="224" t="s">
        <v>786</v>
      </c>
      <c r="M12" s="216"/>
      <c r="N12" s="220"/>
      <c r="P12" s="216"/>
      <c r="Q12" s="220"/>
    </row>
    <row r="13" spans="1:17" ht="9.9499999999999993" customHeight="1" thickTop="1">
      <c r="A13" s="501"/>
      <c r="B13" s="502"/>
      <c r="C13" s="502"/>
      <c r="D13" s="502"/>
      <c r="E13" s="225"/>
      <c r="H13" s="501"/>
      <c r="I13" s="502"/>
      <c r="J13" s="502"/>
      <c r="K13" s="502"/>
      <c r="L13" s="225"/>
    </row>
    <row r="14" spans="1:17">
      <c r="A14" s="498" t="s">
        <v>787</v>
      </c>
      <c r="B14" s="499"/>
      <c r="C14" s="499"/>
      <c r="D14" s="499"/>
      <c r="E14" s="227" t="s">
        <v>788</v>
      </c>
      <c r="H14" s="498" t="s">
        <v>787</v>
      </c>
      <c r="I14" s="499"/>
      <c r="J14" s="499"/>
      <c r="K14" s="499"/>
      <c r="L14" s="227" t="s">
        <v>788</v>
      </c>
    </row>
    <row r="15" spans="1:17" ht="9.9499999999999993" customHeight="1">
      <c r="A15" s="228"/>
      <c r="E15" s="229"/>
      <c r="H15" s="228"/>
      <c r="L15" s="229"/>
    </row>
    <row r="16" spans="1:17">
      <c r="A16" s="498" t="s">
        <v>789</v>
      </c>
      <c r="B16" s="499"/>
      <c r="C16" s="499"/>
      <c r="D16" s="499"/>
      <c r="E16" s="227">
        <v>197</v>
      </c>
      <c r="H16" s="498" t="s">
        <v>789</v>
      </c>
      <c r="I16" s="499"/>
      <c r="J16" s="499"/>
      <c r="K16" s="499"/>
      <c r="L16" s="227">
        <v>213</v>
      </c>
    </row>
    <row r="17" spans="1:17" ht="9.9499999999999993" customHeight="1">
      <c r="A17" s="228"/>
      <c r="E17" s="229"/>
      <c r="H17" s="228"/>
      <c r="L17" s="229"/>
    </row>
    <row r="18" spans="1:17">
      <c r="A18" s="498" t="s">
        <v>790</v>
      </c>
      <c r="B18" s="499"/>
      <c r="C18" s="499"/>
      <c r="D18" s="499"/>
      <c r="E18" s="227">
        <v>93</v>
      </c>
      <c r="H18" s="498" t="s">
        <v>790</v>
      </c>
      <c r="I18" s="499"/>
      <c r="J18" s="499"/>
      <c r="K18" s="499"/>
      <c r="L18" s="227" t="s">
        <v>791</v>
      </c>
    </row>
    <row r="19" spans="1:17" ht="9.9499999999999993" customHeight="1">
      <c r="A19" s="228"/>
      <c r="E19" s="229"/>
      <c r="H19" s="228"/>
      <c r="L19" s="229"/>
    </row>
    <row r="20" spans="1:17">
      <c r="A20" s="498" t="s">
        <v>792</v>
      </c>
      <c r="B20" s="499"/>
      <c r="C20" s="499"/>
      <c r="D20" s="499"/>
      <c r="E20" s="227" t="s">
        <v>67</v>
      </c>
      <c r="H20" s="498" t="s">
        <v>792</v>
      </c>
      <c r="I20" s="499"/>
      <c r="J20" s="499"/>
      <c r="K20" s="499"/>
      <c r="L20" s="227" t="s">
        <v>67</v>
      </c>
    </row>
    <row r="21" spans="1:17" ht="9.9499999999999993" customHeight="1">
      <c r="A21" s="228"/>
      <c r="E21" s="230"/>
      <c r="H21" s="228"/>
      <c r="L21" s="230"/>
    </row>
    <row r="22" spans="1:17">
      <c r="A22" s="498" t="s">
        <v>793</v>
      </c>
      <c r="B22" s="499"/>
      <c r="C22" s="499"/>
      <c r="D22" s="499"/>
      <c r="E22" s="231">
        <v>64000</v>
      </c>
      <c r="H22" s="498" t="s">
        <v>793</v>
      </c>
      <c r="I22" s="499"/>
      <c r="J22" s="499"/>
      <c r="K22" s="499"/>
      <c r="L22" s="231">
        <v>139500</v>
      </c>
      <c r="N22" s="232"/>
      <c r="Q22" s="232"/>
    </row>
    <row r="23" spans="1:17" ht="9.9499999999999993" customHeight="1">
      <c r="A23" s="228"/>
      <c r="E23" s="233"/>
      <c r="H23" s="228"/>
      <c r="L23" s="233"/>
      <c r="N23" s="232"/>
      <c r="Q23" s="232"/>
    </row>
    <row r="24" spans="1:17">
      <c r="A24" s="234" t="s">
        <v>794</v>
      </c>
      <c r="D24" s="235">
        <v>13950</v>
      </c>
      <c r="E24" s="236"/>
      <c r="H24" s="234" t="s">
        <v>794</v>
      </c>
      <c r="K24" s="235">
        <v>19950</v>
      </c>
      <c r="L24" s="236"/>
      <c r="N24" s="232"/>
      <c r="Q24" s="232"/>
    </row>
    <row r="25" spans="1:17">
      <c r="A25" s="234" t="s">
        <v>92</v>
      </c>
      <c r="D25" s="237">
        <f>$C$9</f>
        <v>1</v>
      </c>
      <c r="E25" s="238"/>
      <c r="H25" s="234" t="s">
        <v>92</v>
      </c>
      <c r="K25" s="237">
        <f>J9</f>
        <v>1</v>
      </c>
      <c r="L25" s="238"/>
      <c r="N25" s="232"/>
      <c r="Q25" s="232"/>
    </row>
    <row r="26" spans="1:17">
      <c r="A26" s="228" t="s">
        <v>783</v>
      </c>
      <c r="D26" s="239">
        <f>$C$10</f>
        <v>7.1249999999999994E-2</v>
      </c>
      <c r="E26" s="240"/>
      <c r="H26" s="228" t="s">
        <v>783</v>
      </c>
      <c r="K26" s="239">
        <f>J10</f>
        <v>7.1249999999999994E-2</v>
      </c>
      <c r="L26" s="240"/>
      <c r="N26" s="232"/>
      <c r="Q26" s="232"/>
    </row>
    <row r="27" spans="1:17">
      <c r="A27" s="226" t="s">
        <v>795</v>
      </c>
      <c r="B27" s="216"/>
      <c r="C27" s="216"/>
      <c r="D27" s="216"/>
      <c r="E27" s="231">
        <f>(D24*D25)*(1+D26)</f>
        <v>14943.9375</v>
      </c>
      <c r="H27" s="226" t="s">
        <v>795</v>
      </c>
      <c r="I27" s="216"/>
      <c r="J27" s="216"/>
      <c r="K27" s="216"/>
      <c r="L27" s="231">
        <f>(K24*K25)*(1+K26)</f>
        <v>21371.4375</v>
      </c>
      <c r="N27" s="232"/>
      <c r="Q27" s="232"/>
    </row>
    <row r="28" spans="1:17" ht="9.9499999999999993" customHeight="1">
      <c r="A28" s="503"/>
      <c r="B28" s="504"/>
      <c r="C28" s="504"/>
      <c r="D28" s="504"/>
      <c r="E28" s="233"/>
      <c r="H28" s="503"/>
      <c r="I28" s="504"/>
      <c r="J28" s="504"/>
      <c r="K28" s="504"/>
      <c r="L28" s="233"/>
      <c r="N28" s="232"/>
      <c r="Q28" s="232"/>
    </row>
    <row r="29" spans="1:17">
      <c r="A29" s="228" t="s">
        <v>796</v>
      </c>
      <c r="D29" s="235">
        <v>700</v>
      </c>
      <c r="E29" s="236"/>
      <c r="H29" s="228" t="s">
        <v>796</v>
      </c>
      <c r="K29" s="235">
        <v>700</v>
      </c>
      <c r="L29" s="236"/>
      <c r="N29" s="232"/>
      <c r="Q29" s="232"/>
    </row>
    <row r="30" spans="1:17">
      <c r="A30" s="234" t="s">
        <v>92</v>
      </c>
      <c r="D30" s="237">
        <f>$C$9</f>
        <v>1</v>
      </c>
      <c r="E30" s="238"/>
      <c r="H30" s="234" t="s">
        <v>92</v>
      </c>
      <c r="K30" s="237">
        <f>J9</f>
        <v>1</v>
      </c>
      <c r="L30" s="238"/>
      <c r="N30" s="232"/>
      <c r="Q30" s="232"/>
    </row>
    <row r="31" spans="1:17">
      <c r="A31" s="228" t="s">
        <v>783</v>
      </c>
      <c r="D31" s="239">
        <f>$C$10</f>
        <v>7.1249999999999994E-2</v>
      </c>
      <c r="E31" s="240"/>
      <c r="H31" s="228" t="s">
        <v>783</v>
      </c>
      <c r="K31" s="239">
        <f>$C$10</f>
        <v>7.1249999999999994E-2</v>
      </c>
      <c r="L31" s="240"/>
      <c r="N31" s="232"/>
      <c r="Q31" s="232"/>
    </row>
    <row r="32" spans="1:17">
      <c r="A32" s="226" t="s">
        <v>797</v>
      </c>
      <c r="E32" s="231">
        <f>(D29*D30)*(1+D31)</f>
        <v>749.875</v>
      </c>
      <c r="H32" s="226" t="s">
        <v>797</v>
      </c>
      <c r="L32" s="231">
        <f>(K29*K30)*(1+K31)</f>
        <v>749.875</v>
      </c>
      <c r="N32" s="232"/>
      <c r="Q32" s="232"/>
    </row>
    <row r="33" spans="1:17" ht="9.9499999999999993" customHeight="1">
      <c r="A33" s="228"/>
      <c r="E33" s="233"/>
      <c r="H33" s="228"/>
      <c r="L33" s="233"/>
      <c r="N33" s="232"/>
      <c r="Q33" s="232"/>
    </row>
    <row r="34" spans="1:17">
      <c r="A34" s="226" t="s">
        <v>798</v>
      </c>
      <c r="E34" s="231" t="s">
        <v>799</v>
      </c>
      <c r="H34" s="226" t="s">
        <v>798</v>
      </c>
      <c r="L34" s="231" t="s">
        <v>799</v>
      </c>
      <c r="N34" s="232"/>
      <c r="Q34" s="232"/>
    </row>
    <row r="35" spans="1:17" ht="9.9499999999999993" customHeight="1">
      <c r="A35" s="226"/>
      <c r="E35" s="231"/>
      <c r="H35" s="226"/>
      <c r="L35" s="231"/>
      <c r="N35" s="232"/>
      <c r="Q35" s="232"/>
    </row>
    <row r="36" spans="1:17">
      <c r="A36" s="228" t="s">
        <v>800</v>
      </c>
      <c r="D36" s="241">
        <v>0</v>
      </c>
      <c r="E36" s="231"/>
      <c r="H36" s="228" t="s">
        <v>800</v>
      </c>
      <c r="K36" s="241">
        <v>0</v>
      </c>
      <c r="L36" s="231"/>
      <c r="N36" s="232"/>
      <c r="Q36" s="232"/>
    </row>
    <row r="37" spans="1:17">
      <c r="A37" s="228" t="s">
        <v>801</v>
      </c>
      <c r="D37" s="235">
        <v>1500</v>
      </c>
      <c r="E37" s="242"/>
      <c r="H37" s="228" t="s">
        <v>801</v>
      </c>
      <c r="K37" s="235">
        <v>1500</v>
      </c>
      <c r="L37" s="242"/>
      <c r="N37" s="232"/>
      <c r="Q37" s="232"/>
    </row>
    <row r="38" spans="1:17">
      <c r="A38" s="226" t="s">
        <v>802</v>
      </c>
      <c r="E38" s="231">
        <f>D37*D36</f>
        <v>0</v>
      </c>
      <c r="H38" s="226" t="s">
        <v>802</v>
      </c>
      <c r="L38" s="231">
        <f>K37*K36</f>
        <v>0</v>
      </c>
      <c r="N38" s="232"/>
      <c r="Q38" s="232"/>
    </row>
    <row r="39" spans="1:17" ht="9.9499999999999993" customHeight="1">
      <c r="A39" s="228"/>
      <c r="E39" s="242"/>
      <c r="H39" s="228"/>
      <c r="L39" s="242"/>
      <c r="N39" s="232"/>
      <c r="Q39" s="232"/>
    </row>
    <row r="40" spans="1:17">
      <c r="A40" s="226" t="s">
        <v>803</v>
      </c>
      <c r="E40" s="231" t="s">
        <v>804</v>
      </c>
      <c r="H40" s="226" t="s">
        <v>803</v>
      </c>
      <c r="L40" s="231" t="s">
        <v>804</v>
      </c>
      <c r="N40" s="232"/>
      <c r="Q40" s="232"/>
    </row>
    <row r="41" spans="1:17" ht="9.9499999999999993" customHeight="1">
      <c r="A41" s="228"/>
      <c r="E41" s="242"/>
      <c r="H41" s="228"/>
      <c r="L41" s="242"/>
      <c r="N41" s="232"/>
      <c r="Q41" s="232"/>
    </row>
    <row r="42" spans="1:17">
      <c r="A42" s="228" t="s">
        <v>805</v>
      </c>
      <c r="D42" s="235">
        <v>2000</v>
      </c>
      <c r="E42" s="242"/>
      <c r="H42" s="228" t="s">
        <v>805</v>
      </c>
      <c r="K42" s="235">
        <v>2000</v>
      </c>
      <c r="L42" s="242"/>
      <c r="N42" s="232"/>
      <c r="Q42" s="232"/>
    </row>
    <row r="43" spans="1:17">
      <c r="A43" s="228" t="s">
        <v>92</v>
      </c>
      <c r="D43" s="237">
        <f>$C$9</f>
        <v>1</v>
      </c>
      <c r="E43" s="231"/>
      <c r="H43" s="228" t="s">
        <v>92</v>
      </c>
      <c r="K43" s="237">
        <f>J9</f>
        <v>1</v>
      </c>
      <c r="L43" s="231"/>
      <c r="N43" s="232"/>
      <c r="Q43" s="232"/>
    </row>
    <row r="44" spans="1:17">
      <c r="A44" s="226" t="s">
        <v>806</v>
      </c>
      <c r="B44" s="216"/>
      <c r="C44" s="216"/>
      <c r="D44" s="216"/>
      <c r="E44" s="231">
        <f>D43*D42</f>
        <v>2000</v>
      </c>
      <c r="H44" s="226" t="s">
        <v>806</v>
      </c>
      <c r="I44" s="216"/>
      <c r="J44" s="216"/>
      <c r="K44" s="216"/>
      <c r="L44" s="231">
        <f>K43*K42</f>
        <v>2000</v>
      </c>
      <c r="N44" s="232"/>
      <c r="Q44" s="232"/>
    </row>
    <row r="45" spans="1:17" ht="9.9499999999999993" customHeight="1">
      <c r="A45" s="228"/>
      <c r="E45" s="242"/>
      <c r="H45" s="228"/>
      <c r="L45" s="242"/>
      <c r="N45" s="232"/>
      <c r="Q45" s="232"/>
    </row>
    <row r="46" spans="1:17">
      <c r="A46" s="228" t="s">
        <v>807</v>
      </c>
      <c r="D46" s="241">
        <v>0</v>
      </c>
      <c r="E46" s="243"/>
      <c r="H46" s="228" t="s">
        <v>807</v>
      </c>
      <c r="K46" s="241">
        <v>0</v>
      </c>
      <c r="L46" s="243"/>
      <c r="N46" s="232"/>
      <c r="Q46" s="232"/>
    </row>
    <row r="47" spans="1:17">
      <c r="A47" s="228" t="s">
        <v>808</v>
      </c>
      <c r="D47" s="244">
        <v>82.92</v>
      </c>
      <c r="E47" s="243"/>
      <c r="H47" s="228" t="s">
        <v>808</v>
      </c>
      <c r="K47" s="244">
        <v>82.92</v>
      </c>
      <c r="L47" s="243"/>
      <c r="N47" s="232"/>
      <c r="Q47" s="232"/>
    </row>
    <row r="48" spans="1:17">
      <c r="A48" s="228" t="s">
        <v>92</v>
      </c>
      <c r="D48" s="237">
        <f>$C$9</f>
        <v>1</v>
      </c>
      <c r="E48" s="242"/>
      <c r="H48" s="228" t="s">
        <v>92</v>
      </c>
      <c r="K48" s="237">
        <f>J9</f>
        <v>1</v>
      </c>
      <c r="L48" s="242"/>
      <c r="N48" s="232"/>
      <c r="Q48" s="232"/>
    </row>
    <row r="49" spans="1:17">
      <c r="A49" s="226" t="s">
        <v>809</v>
      </c>
      <c r="D49" s="245"/>
      <c r="E49" s="231">
        <f>(D48*4.33)*D47*D46</f>
        <v>0</v>
      </c>
      <c r="H49" s="226" t="s">
        <v>809</v>
      </c>
      <c r="K49" s="245"/>
      <c r="L49" s="231">
        <f>(K48*4.33)*K47*K46</f>
        <v>0</v>
      </c>
      <c r="N49" s="232"/>
      <c r="Q49" s="232"/>
    </row>
    <row r="50" spans="1:17" ht="9.9499999999999993" customHeight="1">
      <c r="A50" s="228"/>
      <c r="E50" s="242"/>
      <c r="H50" s="228"/>
      <c r="L50" s="242"/>
      <c r="N50" s="232"/>
      <c r="Q50" s="232"/>
    </row>
    <row r="51" spans="1:17">
      <c r="A51" s="228" t="s">
        <v>810</v>
      </c>
      <c r="D51" s="241">
        <v>0</v>
      </c>
      <c r="E51" s="242"/>
      <c r="H51" s="228" t="s">
        <v>810</v>
      </c>
      <c r="K51" s="241">
        <v>0</v>
      </c>
      <c r="L51" s="242"/>
      <c r="N51" s="232"/>
      <c r="Q51" s="232"/>
    </row>
    <row r="52" spans="1:17">
      <c r="A52" s="228" t="s">
        <v>808</v>
      </c>
      <c r="D52" s="244">
        <v>110.93</v>
      </c>
      <c r="E52" s="231"/>
      <c r="H52" s="228" t="s">
        <v>808</v>
      </c>
      <c r="K52" s="244">
        <v>110.93</v>
      </c>
      <c r="L52" s="231"/>
      <c r="N52" s="232"/>
      <c r="Q52" s="232"/>
    </row>
    <row r="53" spans="1:17">
      <c r="A53" s="228" t="s">
        <v>92</v>
      </c>
      <c r="D53" s="237">
        <f>$C$9</f>
        <v>1</v>
      </c>
      <c r="E53" s="231"/>
      <c r="H53" s="228" t="s">
        <v>92</v>
      </c>
      <c r="K53" s="237">
        <f>J9</f>
        <v>1</v>
      </c>
      <c r="L53" s="231"/>
      <c r="N53" s="232"/>
      <c r="Q53" s="232"/>
    </row>
    <row r="54" spans="1:17">
      <c r="A54" s="226" t="s">
        <v>811</v>
      </c>
      <c r="D54" s="246"/>
      <c r="E54" s="231">
        <f>(D53*4.33)*D52*D51</f>
        <v>0</v>
      </c>
      <c r="H54" s="226" t="s">
        <v>811</v>
      </c>
      <c r="K54" s="246"/>
      <c r="L54" s="231">
        <f>(K53*4.33)*K52*K51</f>
        <v>0</v>
      </c>
      <c r="N54" s="232"/>
      <c r="Q54" s="232"/>
    </row>
    <row r="55" spans="1:17" ht="9.9499999999999993" customHeight="1">
      <c r="A55" s="228"/>
      <c r="D55" s="245"/>
      <c r="E55" s="242"/>
      <c r="H55" s="228"/>
      <c r="K55" s="245"/>
      <c r="L55" s="242"/>
      <c r="N55" s="232"/>
      <c r="Q55" s="232"/>
    </row>
    <row r="56" spans="1:17">
      <c r="A56" s="226" t="s">
        <v>812</v>
      </c>
      <c r="E56" s="231">
        <v>10000</v>
      </c>
      <c r="H56" s="226" t="s">
        <v>812</v>
      </c>
      <c r="L56" s="231">
        <v>10000</v>
      </c>
      <c r="N56" s="232"/>
      <c r="Q56" s="232"/>
    </row>
    <row r="57" spans="1:17" ht="9.9499999999999993" customHeight="1">
      <c r="A57" s="228"/>
      <c r="E57" s="242"/>
      <c r="H57" s="228"/>
      <c r="L57" s="242"/>
      <c r="N57" s="232"/>
      <c r="Q57" s="232"/>
    </row>
    <row r="58" spans="1:17">
      <c r="A58" s="226" t="s">
        <v>522</v>
      </c>
      <c r="E58" s="231">
        <v>0</v>
      </c>
      <c r="H58" s="226" t="s">
        <v>522</v>
      </c>
      <c r="L58" s="231">
        <v>0</v>
      </c>
      <c r="N58" s="232"/>
      <c r="Q58" s="232"/>
    </row>
    <row r="59" spans="1:17" ht="9.9499999999999993" customHeight="1" thickBot="1">
      <c r="A59" s="228"/>
      <c r="E59" s="242"/>
      <c r="H59" s="228"/>
      <c r="L59" s="242"/>
      <c r="N59" s="232"/>
      <c r="Q59" s="232"/>
    </row>
    <row r="60" spans="1:17" ht="16.5" thickTop="1" thickBot="1">
      <c r="A60" s="221" t="s">
        <v>813</v>
      </c>
      <c r="B60" s="222"/>
      <c r="C60" s="222"/>
      <c r="D60" s="247"/>
      <c r="E60" s="248">
        <f>SUM(E22:E59)</f>
        <v>91693.8125</v>
      </c>
      <c r="H60" s="221" t="s">
        <v>813</v>
      </c>
      <c r="I60" s="222"/>
      <c r="J60" s="222"/>
      <c r="K60" s="247"/>
      <c r="L60" s="248">
        <f>SUM(L22:L59)</f>
        <v>173621.3125</v>
      </c>
      <c r="N60" s="232"/>
      <c r="Q60" s="232"/>
    </row>
    <row r="61" spans="1:17" ht="9.9499999999999993" customHeight="1" thickTop="1">
      <c r="A61" s="234"/>
      <c r="E61" s="230"/>
      <c r="H61" s="234"/>
      <c r="L61" s="230"/>
      <c r="N61" s="232"/>
      <c r="Q61" s="232"/>
    </row>
    <row r="62" spans="1:17">
      <c r="A62" s="249" t="s">
        <v>814</v>
      </c>
      <c r="D62" s="216"/>
      <c r="E62" s="250">
        <v>507984</v>
      </c>
      <c r="H62" s="249" t="s">
        <v>814</v>
      </c>
      <c r="K62" s="216"/>
      <c r="L62" s="250">
        <v>846640</v>
      </c>
      <c r="N62" s="232"/>
      <c r="Q62" s="232"/>
    </row>
    <row r="63" spans="1:17">
      <c r="A63" s="249" t="s">
        <v>815</v>
      </c>
      <c r="D63" s="216"/>
      <c r="E63" s="250">
        <f>E60-E62</f>
        <v>-416290.1875</v>
      </c>
      <c r="H63" s="249" t="s">
        <v>815</v>
      </c>
      <c r="K63" s="216"/>
      <c r="L63" s="250">
        <f>L60-L62</f>
        <v>-673018.6875</v>
      </c>
      <c r="N63" s="232"/>
      <c r="Q63" s="232"/>
    </row>
    <row r="64" spans="1:17" ht="9.9499999999999993" customHeight="1" thickBot="1">
      <c r="A64" s="234"/>
      <c r="E64" s="230" t="s">
        <v>690</v>
      </c>
      <c r="H64" s="234"/>
      <c r="L64" s="230" t="s">
        <v>690</v>
      </c>
      <c r="N64" s="232"/>
      <c r="Q64" s="232"/>
    </row>
    <row r="65" spans="1:17" ht="16.5" thickTop="1" thickBot="1">
      <c r="A65" s="221" t="s">
        <v>816</v>
      </c>
      <c r="B65" s="222"/>
      <c r="C65" s="222"/>
      <c r="D65" s="222"/>
      <c r="E65" s="248">
        <f>E60/C9</f>
        <v>91693.8125</v>
      </c>
      <c r="H65" s="221" t="s">
        <v>816</v>
      </c>
      <c r="I65" s="222"/>
      <c r="J65" s="222"/>
      <c r="K65" s="222"/>
      <c r="L65" s="248">
        <f>L60/J9</f>
        <v>173621.3125</v>
      </c>
      <c r="N65" s="232"/>
      <c r="Q65" s="232"/>
    </row>
    <row r="66" spans="1:17" ht="15.75" thickTop="1"/>
  </sheetData>
  <mergeCells count="15">
    <mergeCell ref="A28:D28"/>
    <mergeCell ref="H28:K28"/>
    <mergeCell ref="A18:D18"/>
    <mergeCell ref="H18:K18"/>
    <mergeCell ref="A20:D20"/>
    <mergeCell ref="H20:K20"/>
    <mergeCell ref="A22:D22"/>
    <mergeCell ref="H22:K22"/>
    <mergeCell ref="A16:D16"/>
    <mergeCell ref="H16:K16"/>
    <mergeCell ref="G4:H4"/>
    <mergeCell ref="A13:D13"/>
    <mergeCell ref="H13:K13"/>
    <mergeCell ref="A14:D14"/>
    <mergeCell ref="H14:K14"/>
  </mergeCells>
  <pageMargins left="0.7" right="0.7" top="0.75" bottom="0.75" header="0.3" footer="0.3"/>
  <pageSetup scale="62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E1499-0331-427E-9A8E-5B307B3FFB3B}">
  <sheetPr>
    <pageSetUpPr fitToPage="1"/>
  </sheetPr>
  <dimension ref="A1:Q83"/>
  <sheetViews>
    <sheetView zoomScaleNormal="100" workbookViewId="0">
      <selection activeCell="D7" sqref="D7"/>
    </sheetView>
  </sheetViews>
  <sheetFormatPr defaultColWidth="9.140625" defaultRowHeight="15"/>
  <cols>
    <col min="1" max="1" width="9.140625" style="212"/>
    <col min="2" max="2" width="9.140625" style="212" customWidth="1"/>
    <col min="3" max="3" width="10" style="212" customWidth="1"/>
    <col min="4" max="4" width="19.28515625" style="212" customWidth="1"/>
    <col min="5" max="5" width="20.7109375" style="212" customWidth="1"/>
    <col min="6" max="6" width="1.85546875" style="212" customWidth="1"/>
    <col min="7" max="7" width="6.28515625" style="212" customWidth="1"/>
    <col min="8" max="8" width="9.140625" style="212"/>
    <col min="9" max="9" width="9.140625" style="212" customWidth="1"/>
    <col min="10" max="10" width="10" style="212" customWidth="1"/>
    <col min="11" max="11" width="19.28515625" style="212" customWidth="1"/>
    <col min="12" max="12" width="20.7109375" style="212" customWidth="1"/>
    <col min="13" max="13" width="43.140625" style="212" customWidth="1"/>
    <col min="14" max="14" width="21.85546875" style="212" customWidth="1"/>
    <col min="15" max="15" width="9.140625" style="212"/>
    <col min="16" max="16" width="43.140625" style="212" customWidth="1"/>
    <col min="17" max="17" width="21.85546875" style="212" customWidth="1"/>
    <col min="18" max="16384" width="9.140625" style="212"/>
  </cols>
  <sheetData>
    <row r="1" spans="1:17">
      <c r="E1" s="213" t="s">
        <v>775</v>
      </c>
    </row>
    <row r="2" spans="1:17">
      <c r="E2" s="213" t="s">
        <v>776</v>
      </c>
    </row>
    <row r="3" spans="1:17">
      <c r="E3" s="213" t="s">
        <v>777</v>
      </c>
    </row>
    <row r="4" spans="1:17">
      <c r="E4" s="213" t="s">
        <v>778</v>
      </c>
      <c r="G4" s="500"/>
      <c r="H4" s="500"/>
      <c r="I4" s="214"/>
      <c r="J4" s="214"/>
      <c r="K4" s="214"/>
      <c r="L4" s="214"/>
      <c r="M4" s="214"/>
    </row>
    <row r="5" spans="1:17">
      <c r="E5" s="213" t="s">
        <v>779</v>
      </c>
      <c r="G5" s="215"/>
      <c r="L5" s="213"/>
    </row>
    <row r="6" spans="1:17">
      <c r="E6" s="213"/>
      <c r="L6" s="213"/>
    </row>
    <row r="7" spans="1:17" ht="18.75">
      <c r="A7" s="505" t="s">
        <v>817</v>
      </c>
      <c r="B7" s="505"/>
      <c r="C7" s="505"/>
      <c r="D7" s="505"/>
      <c r="E7" s="505"/>
      <c r="F7" s="216"/>
      <c r="G7" s="216"/>
      <c r="H7" s="506" t="s">
        <v>818</v>
      </c>
      <c r="I7" s="506"/>
      <c r="J7" s="506"/>
      <c r="K7" s="506"/>
      <c r="L7" s="506"/>
      <c r="M7" s="216"/>
      <c r="P7" s="216"/>
    </row>
    <row r="8" spans="1:17">
      <c r="D8" s="216"/>
      <c r="E8" s="216"/>
      <c r="F8" s="216"/>
      <c r="G8" s="216"/>
      <c r="K8" s="216"/>
      <c r="L8" s="216"/>
    </row>
    <row r="9" spans="1:17">
      <c r="A9" s="217" t="s">
        <v>819</v>
      </c>
      <c r="C9" s="218">
        <v>0</v>
      </c>
      <c r="D9" s="217" t="s">
        <v>92</v>
      </c>
      <c r="E9" s="216"/>
      <c r="F9" s="216"/>
      <c r="G9" s="216"/>
      <c r="H9" s="217" t="s">
        <v>819</v>
      </c>
      <c r="J9" s="218">
        <v>15</v>
      </c>
      <c r="K9" s="217" t="s">
        <v>92</v>
      </c>
      <c r="L9" s="216"/>
    </row>
    <row r="10" spans="1:17">
      <c r="A10" s="217" t="s">
        <v>820</v>
      </c>
      <c r="C10" s="218">
        <v>0</v>
      </c>
      <c r="D10" s="217" t="s">
        <v>821</v>
      </c>
      <c r="E10" s="216"/>
      <c r="F10" s="216"/>
      <c r="G10" s="216"/>
      <c r="H10" s="217" t="s">
        <v>820</v>
      </c>
      <c r="J10" s="218">
        <v>26</v>
      </c>
      <c r="K10" s="217" t="s">
        <v>821</v>
      </c>
      <c r="L10" s="216"/>
    </row>
    <row r="11" spans="1:17">
      <c r="A11" s="217" t="s">
        <v>783</v>
      </c>
      <c r="C11" s="219">
        <v>7.1249999999999994E-2</v>
      </c>
      <c r="D11" s="217" t="s">
        <v>784</v>
      </c>
      <c r="E11" s="216"/>
      <c r="F11" s="216"/>
      <c r="G11" s="216"/>
      <c r="H11" s="217" t="s">
        <v>783</v>
      </c>
      <c r="J11" s="219">
        <v>7.1249999999999994E-2</v>
      </c>
      <c r="K11" s="217" t="s">
        <v>784</v>
      </c>
      <c r="L11" s="216"/>
    </row>
    <row r="12" spans="1:17" ht="8.1" customHeight="1" thickBot="1">
      <c r="A12" s="216"/>
      <c r="D12" s="216"/>
      <c r="E12" s="220"/>
      <c r="F12" s="216"/>
      <c r="G12" s="216"/>
      <c r="H12" s="216"/>
      <c r="K12" s="216"/>
      <c r="L12" s="220"/>
    </row>
    <row r="13" spans="1:17" ht="16.5" thickTop="1" thickBot="1">
      <c r="A13" s="221" t="s">
        <v>785</v>
      </c>
      <c r="B13" s="222"/>
      <c r="C13" s="222"/>
      <c r="D13" s="223"/>
      <c r="E13" s="224" t="s">
        <v>786</v>
      </c>
      <c r="F13" s="220"/>
      <c r="G13" s="220"/>
      <c r="H13" s="221" t="s">
        <v>785</v>
      </c>
      <c r="I13" s="222"/>
      <c r="J13" s="222"/>
      <c r="K13" s="223"/>
      <c r="L13" s="224" t="s">
        <v>786</v>
      </c>
      <c r="M13" s="216"/>
      <c r="N13" s="220"/>
      <c r="P13" s="216"/>
      <c r="Q13" s="220"/>
    </row>
    <row r="14" spans="1:17" ht="9.9499999999999993" customHeight="1" thickTop="1">
      <c r="A14" s="501"/>
      <c r="B14" s="502"/>
      <c r="C14" s="502"/>
      <c r="D14" s="502"/>
      <c r="E14" s="225"/>
      <c r="H14" s="501"/>
      <c r="I14" s="502"/>
      <c r="J14" s="502"/>
      <c r="K14" s="502"/>
      <c r="L14" s="225"/>
    </row>
    <row r="15" spans="1:17">
      <c r="A15" s="249" t="s">
        <v>787</v>
      </c>
      <c r="B15" s="216"/>
      <c r="C15" s="216"/>
      <c r="D15" s="216"/>
      <c r="E15" s="227" t="s">
        <v>822</v>
      </c>
      <c r="H15" s="249" t="s">
        <v>787</v>
      </c>
      <c r="I15" s="216"/>
      <c r="J15" s="216"/>
      <c r="K15" s="216"/>
      <c r="L15" s="227" t="s">
        <v>823</v>
      </c>
    </row>
    <row r="16" spans="1:17" ht="9.9499999999999993" customHeight="1">
      <c r="A16" s="249"/>
      <c r="B16" s="216"/>
      <c r="C16" s="216"/>
      <c r="D16" s="216"/>
      <c r="E16" s="227"/>
      <c r="H16" s="249"/>
      <c r="I16" s="216"/>
      <c r="J16" s="216"/>
      <c r="K16" s="216"/>
      <c r="L16" s="227"/>
    </row>
    <row r="17" spans="1:17">
      <c r="A17" s="249" t="s">
        <v>824</v>
      </c>
      <c r="B17" s="216"/>
      <c r="C17" s="216"/>
      <c r="D17" s="216"/>
      <c r="E17" s="227" t="s">
        <v>825</v>
      </c>
      <c r="H17" s="249" t="s">
        <v>824</v>
      </c>
      <c r="I17" s="216"/>
      <c r="J17" s="216"/>
      <c r="K17" s="216"/>
      <c r="L17" s="227" t="s">
        <v>825</v>
      </c>
    </row>
    <row r="18" spans="1:17" ht="9.9499999999999993" customHeight="1">
      <c r="A18" s="249"/>
      <c r="B18" s="216"/>
      <c r="C18" s="216"/>
      <c r="D18" s="216"/>
      <c r="E18" s="227"/>
      <c r="H18" s="249"/>
      <c r="I18" s="216"/>
      <c r="J18" s="216"/>
      <c r="K18" s="216"/>
      <c r="L18" s="227"/>
    </row>
    <row r="19" spans="1:17">
      <c r="A19" s="249" t="s">
        <v>826</v>
      </c>
      <c r="B19" s="216"/>
      <c r="C19" s="216"/>
      <c r="D19" s="216"/>
      <c r="E19" s="227" t="s">
        <v>827</v>
      </c>
      <c r="H19" s="249" t="s">
        <v>826</v>
      </c>
      <c r="I19" s="216"/>
      <c r="J19" s="216"/>
      <c r="K19" s="216"/>
      <c r="L19" s="227" t="s">
        <v>828</v>
      </c>
    </row>
    <row r="20" spans="1:17" ht="9.9499999999999993" customHeight="1">
      <c r="A20" s="249"/>
      <c r="B20" s="216"/>
      <c r="C20" s="216"/>
      <c r="D20" s="216"/>
      <c r="E20" s="227"/>
      <c r="H20" s="249"/>
      <c r="I20" s="216"/>
      <c r="J20" s="216"/>
      <c r="K20" s="216"/>
      <c r="L20" s="227"/>
    </row>
    <row r="21" spans="1:17">
      <c r="A21" s="249" t="s">
        <v>829</v>
      </c>
      <c r="B21" s="216"/>
      <c r="C21" s="216"/>
      <c r="D21" s="216"/>
      <c r="E21" s="227" t="s">
        <v>830</v>
      </c>
      <c r="H21" s="249" t="s">
        <v>829</v>
      </c>
      <c r="I21" s="216"/>
      <c r="J21" s="216"/>
      <c r="K21" s="216"/>
      <c r="L21" s="227" t="s">
        <v>831</v>
      </c>
    </row>
    <row r="22" spans="1:17" ht="9.9499999999999993" customHeight="1">
      <c r="A22" s="249"/>
      <c r="B22" s="216"/>
      <c r="C22" s="216"/>
      <c r="D22" s="216"/>
      <c r="E22" s="251"/>
      <c r="H22" s="249"/>
      <c r="I22" s="216"/>
      <c r="J22" s="216"/>
      <c r="K22" s="216"/>
      <c r="L22" s="251"/>
    </row>
    <row r="23" spans="1:17">
      <c r="A23" s="249" t="s">
        <v>793</v>
      </c>
      <c r="B23" s="216"/>
      <c r="C23" s="216"/>
      <c r="D23" s="216"/>
      <c r="E23" s="252">
        <v>24250</v>
      </c>
      <c r="H23" s="249" t="s">
        <v>793</v>
      </c>
      <c r="I23" s="216"/>
      <c r="J23" s="216"/>
      <c r="K23" s="216"/>
      <c r="L23" s="252">
        <v>58000</v>
      </c>
      <c r="N23" s="232"/>
      <c r="Q23" s="232"/>
    </row>
    <row r="24" spans="1:17" ht="9.9499999999999993" customHeight="1">
      <c r="A24" s="234"/>
      <c r="E24" s="233"/>
      <c r="H24" s="234"/>
      <c r="L24" s="233"/>
      <c r="N24" s="232"/>
      <c r="Q24" s="232"/>
    </row>
    <row r="25" spans="1:17">
      <c r="A25" s="234" t="s">
        <v>794</v>
      </c>
      <c r="D25" s="235">
        <v>5500</v>
      </c>
      <c r="E25" s="233"/>
      <c r="H25" s="234" t="s">
        <v>794</v>
      </c>
      <c r="K25" s="235">
        <f>15500+750</f>
        <v>16250</v>
      </c>
      <c r="L25" s="233"/>
      <c r="N25" s="232"/>
      <c r="Q25" s="232"/>
    </row>
    <row r="26" spans="1:17">
      <c r="A26" s="234" t="s">
        <v>92</v>
      </c>
      <c r="D26" s="237">
        <f>C9</f>
        <v>0</v>
      </c>
      <c r="E26" s="233"/>
      <c r="H26" s="234" t="s">
        <v>92</v>
      </c>
      <c r="K26" s="237">
        <f>J9</f>
        <v>15</v>
      </c>
      <c r="L26" s="233"/>
      <c r="N26" s="232"/>
      <c r="Q26" s="232"/>
    </row>
    <row r="27" spans="1:17">
      <c r="A27" s="228" t="s">
        <v>783</v>
      </c>
      <c r="D27" s="239">
        <f>C11</f>
        <v>7.1249999999999994E-2</v>
      </c>
      <c r="E27" s="233"/>
      <c r="H27" s="228" t="s">
        <v>783</v>
      </c>
      <c r="K27" s="239">
        <f>J11</f>
        <v>7.1249999999999994E-2</v>
      </c>
      <c r="L27" s="233"/>
      <c r="N27" s="232"/>
      <c r="Q27" s="232"/>
    </row>
    <row r="28" spans="1:17">
      <c r="A28" s="226" t="s">
        <v>795</v>
      </c>
      <c r="B28" s="216"/>
      <c r="C28" s="216"/>
      <c r="D28" s="216"/>
      <c r="E28" s="231">
        <f>(D25*D26)*(1+D27)</f>
        <v>0</v>
      </c>
      <c r="H28" s="226" t="s">
        <v>795</v>
      </c>
      <c r="I28" s="216"/>
      <c r="J28" s="216"/>
      <c r="K28" s="216"/>
      <c r="L28" s="231">
        <f>(K25*K26)*(1+K27)</f>
        <v>261117.1875</v>
      </c>
      <c r="N28" s="232"/>
      <c r="Q28" s="232"/>
    </row>
    <row r="29" spans="1:17" ht="9.9499999999999993" customHeight="1">
      <c r="A29" s="234"/>
      <c r="E29" s="233"/>
      <c r="H29" s="234"/>
      <c r="L29" s="233"/>
      <c r="N29" s="232"/>
      <c r="Q29" s="232"/>
    </row>
    <row r="30" spans="1:17">
      <c r="A30" s="234" t="s">
        <v>832</v>
      </c>
      <c r="D30" s="253">
        <f>C9/3</f>
        <v>0</v>
      </c>
      <c r="E30" s="233"/>
      <c r="H30" s="234" t="s">
        <v>832</v>
      </c>
      <c r="K30" s="253">
        <f>J9/3</f>
        <v>5</v>
      </c>
      <c r="L30" s="233"/>
      <c r="N30" s="232"/>
      <c r="Q30" s="232"/>
    </row>
    <row r="31" spans="1:17">
      <c r="A31" s="234" t="s">
        <v>833</v>
      </c>
      <c r="D31" s="235">
        <v>1000</v>
      </c>
      <c r="E31" s="233"/>
      <c r="H31" s="234" t="s">
        <v>833</v>
      </c>
      <c r="K31" s="235">
        <f>130*2*6</f>
        <v>1560</v>
      </c>
      <c r="L31" s="233"/>
      <c r="N31" s="232"/>
      <c r="Q31" s="232"/>
    </row>
    <row r="32" spans="1:17">
      <c r="A32" s="249" t="s">
        <v>834</v>
      </c>
      <c r="B32" s="216"/>
      <c r="C32" s="216"/>
      <c r="D32" s="254"/>
      <c r="E32" s="231">
        <f>D31*D30</f>
        <v>0</v>
      </c>
      <c r="H32" s="249" t="s">
        <v>834</v>
      </c>
      <c r="I32" s="216"/>
      <c r="J32" s="216"/>
      <c r="K32" s="254"/>
      <c r="L32" s="231">
        <f>K31*K30</f>
        <v>7800</v>
      </c>
      <c r="N32" s="232"/>
      <c r="Q32" s="232"/>
    </row>
    <row r="33" spans="1:17" ht="9.9499999999999993" customHeight="1">
      <c r="A33" s="234"/>
      <c r="E33" s="233"/>
      <c r="H33" s="234"/>
      <c r="L33" s="233"/>
      <c r="N33" s="232"/>
      <c r="Q33" s="232"/>
    </row>
    <row r="34" spans="1:17">
      <c r="A34" s="234" t="s">
        <v>835</v>
      </c>
      <c r="D34" s="235">
        <v>650</v>
      </c>
      <c r="E34" s="233"/>
      <c r="H34" s="234" t="s">
        <v>835</v>
      </c>
      <c r="K34" s="235">
        <v>650</v>
      </c>
      <c r="L34" s="233"/>
      <c r="N34" s="232"/>
      <c r="Q34" s="232"/>
    </row>
    <row r="35" spans="1:17">
      <c r="A35" s="234" t="s">
        <v>836</v>
      </c>
      <c r="D35" s="245">
        <f>C9</f>
        <v>0</v>
      </c>
      <c r="E35" s="233"/>
      <c r="H35" s="234" t="s">
        <v>836</v>
      </c>
      <c r="K35" s="245">
        <f>J9</f>
        <v>15</v>
      </c>
      <c r="L35" s="233"/>
      <c r="N35" s="232"/>
      <c r="Q35" s="232"/>
    </row>
    <row r="36" spans="1:17">
      <c r="A36" s="249" t="s">
        <v>837</v>
      </c>
      <c r="B36" s="216"/>
      <c r="C36" s="216"/>
      <c r="D36" s="220"/>
      <c r="E36" s="231">
        <f>D35*D34</f>
        <v>0</v>
      </c>
      <c r="H36" s="249" t="s">
        <v>837</v>
      </c>
      <c r="I36" s="216"/>
      <c r="J36" s="216"/>
      <c r="K36" s="220"/>
      <c r="L36" s="231">
        <f>K35*K34</f>
        <v>9750</v>
      </c>
      <c r="N36" s="232"/>
      <c r="Q36" s="232"/>
    </row>
    <row r="37" spans="1:17" ht="9.9499999999999993" customHeight="1">
      <c r="A37" s="234"/>
      <c r="E37" s="233"/>
      <c r="H37" s="234"/>
      <c r="L37" s="233"/>
      <c r="N37" s="232"/>
      <c r="Q37" s="232"/>
    </row>
    <row r="38" spans="1:17">
      <c r="A38" s="234" t="s">
        <v>838</v>
      </c>
      <c r="D38" s="245">
        <f>C10</f>
        <v>0</v>
      </c>
      <c r="E38" s="233"/>
      <c r="H38" s="234" t="s">
        <v>838</v>
      </c>
      <c r="K38" s="245">
        <f>J10</f>
        <v>26</v>
      </c>
      <c r="L38" s="233"/>
      <c r="N38" s="232"/>
      <c r="Q38" s="232"/>
    </row>
    <row r="39" spans="1:17">
      <c r="A39" s="234" t="s">
        <v>839</v>
      </c>
      <c r="D39" s="235">
        <v>155</v>
      </c>
      <c r="E39" s="233"/>
      <c r="H39" s="234" t="s">
        <v>839</v>
      </c>
      <c r="K39" s="235">
        <v>155</v>
      </c>
      <c r="L39" s="233"/>
      <c r="N39" s="232"/>
      <c r="Q39" s="232"/>
    </row>
    <row r="40" spans="1:17">
      <c r="A40" s="234" t="s">
        <v>92</v>
      </c>
      <c r="D40" s="245">
        <f>C9</f>
        <v>0</v>
      </c>
      <c r="E40" s="233"/>
      <c r="H40" s="234" t="s">
        <v>92</v>
      </c>
      <c r="K40" s="245">
        <f>J9</f>
        <v>15</v>
      </c>
      <c r="L40" s="233"/>
      <c r="N40" s="232"/>
      <c r="Q40" s="232"/>
    </row>
    <row r="41" spans="1:17">
      <c r="A41" s="249" t="s">
        <v>840</v>
      </c>
      <c r="B41" s="216"/>
      <c r="C41" s="216"/>
      <c r="D41" s="220"/>
      <c r="E41" s="231">
        <f>D40*D39*D38</f>
        <v>0</v>
      </c>
      <c r="H41" s="249" t="s">
        <v>840</v>
      </c>
      <c r="I41" s="216"/>
      <c r="J41" s="216"/>
      <c r="K41" s="220"/>
      <c r="L41" s="231">
        <f>K40*K39*K38</f>
        <v>60450</v>
      </c>
      <c r="N41" s="232"/>
      <c r="Q41" s="232"/>
    </row>
    <row r="42" spans="1:17" ht="9.9499999999999993" customHeight="1">
      <c r="A42" s="234"/>
      <c r="E42" s="233"/>
      <c r="H42" s="234"/>
      <c r="L42" s="233"/>
      <c r="N42" s="232"/>
      <c r="Q42" s="232"/>
    </row>
    <row r="43" spans="1:17">
      <c r="A43" s="249" t="s">
        <v>841</v>
      </c>
      <c r="B43" s="216"/>
      <c r="C43" s="216"/>
      <c r="D43" s="216"/>
      <c r="E43" s="252" t="s">
        <v>842</v>
      </c>
      <c r="H43" s="249" t="s">
        <v>841</v>
      </c>
      <c r="I43" s="216"/>
      <c r="J43" s="216"/>
      <c r="K43" s="216"/>
      <c r="L43" s="252" t="s">
        <v>842</v>
      </c>
      <c r="N43" s="232"/>
      <c r="Q43" s="232"/>
    </row>
    <row r="44" spans="1:17" ht="9.9499999999999993" customHeight="1">
      <c r="A44" s="234"/>
      <c r="E44" s="233"/>
      <c r="H44" s="234"/>
      <c r="L44" s="233"/>
      <c r="N44" s="232"/>
      <c r="Q44" s="232"/>
    </row>
    <row r="45" spans="1:17">
      <c r="A45" s="234" t="s">
        <v>843</v>
      </c>
      <c r="D45" s="235">
        <v>650</v>
      </c>
      <c r="E45" s="233"/>
      <c r="H45" s="234" t="s">
        <v>843</v>
      </c>
      <c r="K45" s="235">
        <v>1350</v>
      </c>
      <c r="L45" s="233"/>
      <c r="N45" s="232"/>
      <c r="Q45" s="232"/>
    </row>
    <row r="46" spans="1:17">
      <c r="A46" s="234" t="s">
        <v>92</v>
      </c>
      <c r="D46" s="245">
        <f>C9</f>
        <v>0</v>
      </c>
      <c r="E46" s="233"/>
      <c r="H46" s="234" t="s">
        <v>92</v>
      </c>
      <c r="K46" s="245">
        <f>J9</f>
        <v>15</v>
      </c>
      <c r="L46" s="233"/>
      <c r="N46" s="232"/>
      <c r="Q46" s="232"/>
    </row>
    <row r="47" spans="1:17">
      <c r="A47" s="249" t="s">
        <v>844</v>
      </c>
      <c r="B47" s="216"/>
      <c r="C47" s="216"/>
      <c r="D47" s="216"/>
      <c r="E47" s="231">
        <f>D46*D45</f>
        <v>0</v>
      </c>
      <c r="H47" s="249" t="s">
        <v>844</v>
      </c>
      <c r="I47" s="216"/>
      <c r="J47" s="216"/>
      <c r="K47" s="216"/>
      <c r="L47" s="231">
        <f>K46*K45</f>
        <v>20250</v>
      </c>
      <c r="N47" s="232"/>
      <c r="Q47" s="232"/>
    </row>
    <row r="48" spans="1:17" ht="9.9499999999999993" customHeight="1">
      <c r="A48" s="234"/>
      <c r="E48" s="233"/>
      <c r="H48" s="234"/>
      <c r="L48" s="233"/>
      <c r="N48" s="232"/>
      <c r="Q48" s="232"/>
    </row>
    <row r="49" spans="1:17">
      <c r="A49" s="249" t="s">
        <v>845</v>
      </c>
      <c r="B49" s="216"/>
      <c r="C49" s="216"/>
      <c r="D49" s="216"/>
      <c r="E49" s="255" t="s">
        <v>799</v>
      </c>
      <c r="H49" s="249" t="s">
        <v>845</v>
      </c>
      <c r="I49" s="216"/>
      <c r="J49" s="216"/>
      <c r="K49" s="216"/>
      <c r="L49" s="255" t="s">
        <v>799</v>
      </c>
      <c r="N49" s="232"/>
      <c r="Q49" s="232"/>
    </row>
    <row r="50" spans="1:17" ht="9.9499999999999993" customHeight="1">
      <c r="A50" s="234"/>
      <c r="E50" s="233"/>
      <c r="H50" s="234"/>
      <c r="L50" s="233"/>
      <c r="N50" s="232"/>
      <c r="Q50" s="232"/>
    </row>
    <row r="51" spans="1:17">
      <c r="A51" s="228" t="s">
        <v>800</v>
      </c>
      <c r="D51" s="241">
        <v>0</v>
      </c>
      <c r="E51" s="233"/>
      <c r="H51" s="228" t="s">
        <v>800</v>
      </c>
      <c r="K51" s="241">
        <v>0</v>
      </c>
      <c r="L51" s="233"/>
      <c r="N51" s="232"/>
      <c r="Q51" s="232"/>
    </row>
    <row r="52" spans="1:17">
      <c r="A52" s="228" t="s">
        <v>801</v>
      </c>
      <c r="D52" s="235">
        <v>1500</v>
      </c>
      <c r="E52" s="233"/>
      <c r="H52" s="228" t="s">
        <v>801</v>
      </c>
      <c r="K52" s="235">
        <v>1500</v>
      </c>
      <c r="L52" s="233"/>
      <c r="N52" s="232"/>
      <c r="Q52" s="232"/>
    </row>
    <row r="53" spans="1:17">
      <c r="A53" s="226" t="s">
        <v>802</v>
      </c>
      <c r="E53" s="231">
        <f>D52*D51</f>
        <v>0</v>
      </c>
      <c r="H53" s="226" t="s">
        <v>802</v>
      </c>
      <c r="L53" s="231">
        <f>K52*K51</f>
        <v>0</v>
      </c>
      <c r="N53" s="232"/>
      <c r="Q53" s="232"/>
    </row>
    <row r="54" spans="1:17" ht="9.9499999999999993" customHeight="1">
      <c r="A54" s="234"/>
      <c r="E54" s="233"/>
      <c r="H54" s="234"/>
      <c r="L54" s="233"/>
      <c r="N54" s="232"/>
      <c r="Q54" s="232"/>
    </row>
    <row r="55" spans="1:17">
      <c r="A55" s="249" t="s">
        <v>803</v>
      </c>
      <c r="B55" s="216"/>
      <c r="C55" s="216"/>
      <c r="D55" s="216"/>
      <c r="E55" s="256" t="s">
        <v>846</v>
      </c>
      <c r="H55" s="249" t="s">
        <v>803</v>
      </c>
      <c r="I55" s="216"/>
      <c r="J55" s="216"/>
      <c r="K55" s="216"/>
      <c r="L55" s="256" t="s">
        <v>846</v>
      </c>
      <c r="N55" s="232"/>
      <c r="Q55" s="232"/>
    </row>
    <row r="56" spans="1:17" ht="9.9499999999999993" customHeight="1">
      <c r="A56" s="234"/>
      <c r="E56" s="233"/>
      <c r="H56" s="234"/>
      <c r="L56" s="233"/>
      <c r="N56" s="232"/>
      <c r="Q56" s="232"/>
    </row>
    <row r="57" spans="1:17">
      <c r="A57" s="234" t="s">
        <v>805</v>
      </c>
      <c r="D57" s="235">
        <v>1500</v>
      </c>
      <c r="E57" s="233"/>
      <c r="H57" s="234" t="s">
        <v>805</v>
      </c>
      <c r="K57" s="235">
        <v>1500</v>
      </c>
      <c r="L57" s="233"/>
      <c r="N57" s="232"/>
      <c r="Q57" s="232"/>
    </row>
    <row r="58" spans="1:17">
      <c r="A58" s="234" t="s">
        <v>92</v>
      </c>
      <c r="D58" s="245">
        <f>C9</f>
        <v>0</v>
      </c>
      <c r="E58" s="233"/>
      <c r="H58" s="234" t="s">
        <v>92</v>
      </c>
      <c r="K58" s="245">
        <f>J9</f>
        <v>15</v>
      </c>
      <c r="L58" s="233"/>
      <c r="N58" s="232"/>
      <c r="Q58" s="232"/>
    </row>
    <row r="59" spans="1:17">
      <c r="A59" s="226" t="s">
        <v>806</v>
      </c>
      <c r="E59" s="231">
        <f>D58*D57</f>
        <v>0</v>
      </c>
      <c r="H59" s="226" t="s">
        <v>806</v>
      </c>
      <c r="L59" s="231">
        <f>K58*K57</f>
        <v>22500</v>
      </c>
      <c r="N59" s="232"/>
      <c r="Q59" s="232"/>
    </row>
    <row r="60" spans="1:17" ht="9.9499999999999993" customHeight="1">
      <c r="A60" s="234"/>
      <c r="E60" s="233"/>
      <c r="H60" s="234"/>
      <c r="L60" s="233"/>
      <c r="N60" s="232"/>
      <c r="Q60" s="232"/>
    </row>
    <row r="61" spans="1:17">
      <c r="A61" s="228" t="s">
        <v>807</v>
      </c>
      <c r="D61" s="257">
        <v>40</v>
      </c>
      <c r="E61" s="233"/>
      <c r="H61" s="228" t="s">
        <v>807</v>
      </c>
      <c r="K61" s="257">
        <v>40</v>
      </c>
      <c r="L61" s="233"/>
      <c r="N61" s="232"/>
      <c r="Q61" s="232"/>
    </row>
    <row r="62" spans="1:17">
      <c r="A62" s="228" t="s">
        <v>808</v>
      </c>
      <c r="D62" s="244">
        <v>85.5</v>
      </c>
      <c r="E62" s="233"/>
      <c r="H62" s="228" t="s">
        <v>808</v>
      </c>
      <c r="K62" s="244">
        <v>85.5</v>
      </c>
      <c r="L62" s="233"/>
      <c r="N62" s="232"/>
      <c r="Q62" s="232"/>
    </row>
    <row r="63" spans="1:17">
      <c r="A63" s="228" t="s">
        <v>92</v>
      </c>
      <c r="D63" s="245">
        <f>C9</f>
        <v>0</v>
      </c>
      <c r="E63" s="233"/>
      <c r="H63" s="228" t="s">
        <v>92</v>
      </c>
      <c r="K63" s="245">
        <v>20</v>
      </c>
      <c r="L63" s="233"/>
      <c r="N63" s="232"/>
      <c r="Q63" s="232"/>
    </row>
    <row r="64" spans="1:17">
      <c r="A64" s="226" t="s">
        <v>809</v>
      </c>
      <c r="E64" s="231">
        <f>(D61*4.33)*D62*D63</f>
        <v>0</v>
      </c>
      <c r="H64" s="226" t="s">
        <v>809</v>
      </c>
      <c r="L64" s="231">
        <v>100000</v>
      </c>
      <c r="N64" s="232"/>
      <c r="Q64" s="232"/>
    </row>
    <row r="65" spans="1:17" ht="9.9499999999999993" customHeight="1">
      <c r="A65" s="234"/>
      <c r="E65" s="233"/>
      <c r="H65" s="234"/>
      <c r="L65" s="233"/>
      <c r="N65" s="232"/>
      <c r="Q65" s="232"/>
    </row>
    <row r="66" spans="1:17">
      <c r="A66" s="228" t="s">
        <v>810</v>
      </c>
      <c r="D66" s="241">
        <v>5</v>
      </c>
      <c r="E66" s="233"/>
      <c r="H66" s="228" t="s">
        <v>810</v>
      </c>
      <c r="K66" s="241">
        <v>5</v>
      </c>
      <c r="L66" s="233"/>
      <c r="N66" s="232"/>
      <c r="Q66" s="232"/>
    </row>
    <row r="67" spans="1:17">
      <c r="A67" s="228" t="s">
        <v>808</v>
      </c>
      <c r="D67" s="244">
        <v>113.42</v>
      </c>
      <c r="E67" s="233"/>
      <c r="H67" s="228" t="s">
        <v>808</v>
      </c>
      <c r="K67" s="244">
        <v>113.42</v>
      </c>
      <c r="L67" s="233"/>
      <c r="N67" s="232"/>
      <c r="Q67" s="232"/>
    </row>
    <row r="68" spans="1:17">
      <c r="A68" s="228" t="s">
        <v>92</v>
      </c>
      <c r="D68" s="237">
        <f>C9</f>
        <v>0</v>
      </c>
      <c r="E68" s="233"/>
      <c r="H68" s="228" t="s">
        <v>92</v>
      </c>
      <c r="K68" s="237">
        <f>J9</f>
        <v>15</v>
      </c>
      <c r="L68" s="233"/>
      <c r="N68" s="232"/>
      <c r="Q68" s="232"/>
    </row>
    <row r="69" spans="1:17">
      <c r="A69" s="226" t="s">
        <v>811</v>
      </c>
      <c r="E69" s="231">
        <f>(D68*4.33)*D67*D66</f>
        <v>0</v>
      </c>
      <c r="H69" s="226" t="s">
        <v>811</v>
      </c>
      <c r="L69" s="231"/>
      <c r="N69" s="232"/>
      <c r="Q69" s="232"/>
    </row>
    <row r="70" spans="1:17" ht="9.9499999999999993" customHeight="1">
      <c r="A70" s="234"/>
      <c r="E70" s="233"/>
      <c r="H70" s="234"/>
      <c r="L70" s="233"/>
      <c r="N70" s="232"/>
      <c r="Q70" s="232"/>
    </row>
    <row r="71" spans="1:17">
      <c r="A71" s="249" t="s">
        <v>847</v>
      </c>
      <c r="B71" s="216"/>
      <c r="C71" s="216"/>
      <c r="D71" s="216"/>
      <c r="E71" s="231">
        <v>500</v>
      </c>
      <c r="H71" s="249" t="s">
        <v>847</v>
      </c>
      <c r="I71" s="216"/>
      <c r="J71" s="216"/>
      <c r="K71" s="216"/>
      <c r="L71" s="231">
        <v>500</v>
      </c>
      <c r="N71" s="232"/>
      <c r="Q71" s="232"/>
    </row>
    <row r="72" spans="1:17" ht="9.9499999999999993" customHeight="1">
      <c r="A72" s="234"/>
      <c r="E72" s="233"/>
      <c r="H72" s="234"/>
      <c r="L72" s="233"/>
      <c r="N72" s="232"/>
      <c r="Q72" s="232"/>
    </row>
    <row r="73" spans="1:17">
      <c r="A73" s="249" t="s">
        <v>812</v>
      </c>
      <c r="B73" s="216"/>
      <c r="C73" s="216"/>
      <c r="D73" s="216"/>
      <c r="E73" s="231">
        <v>5000</v>
      </c>
      <c r="H73" s="249" t="s">
        <v>812</v>
      </c>
      <c r="I73" s="216"/>
      <c r="J73" s="216"/>
      <c r="K73" s="216"/>
      <c r="L73" s="231">
        <v>5000</v>
      </c>
      <c r="N73" s="232"/>
      <c r="Q73" s="232"/>
    </row>
    <row r="74" spans="1:17" ht="9.9499999999999993" customHeight="1" thickBot="1">
      <c r="A74" s="258"/>
      <c r="B74" s="259"/>
      <c r="C74" s="259"/>
      <c r="D74" s="259"/>
      <c r="E74" s="242"/>
      <c r="H74" s="228"/>
      <c r="L74" s="242"/>
      <c r="N74" s="232"/>
      <c r="Q74" s="232"/>
    </row>
    <row r="75" spans="1:17" ht="16.5" thickTop="1" thickBot="1">
      <c r="A75" s="221" t="s">
        <v>848</v>
      </c>
      <c r="B75" s="222"/>
      <c r="C75" s="222"/>
      <c r="D75" s="222"/>
      <c r="E75" s="248">
        <f>SUM(E23:E74)</f>
        <v>29750</v>
      </c>
      <c r="H75" s="221" t="s">
        <v>848</v>
      </c>
      <c r="I75" s="222"/>
      <c r="J75" s="222"/>
      <c r="K75" s="247"/>
      <c r="L75" s="248">
        <f>SUM(L23:L74)</f>
        <v>545367.1875</v>
      </c>
      <c r="N75" s="232"/>
      <c r="Q75" s="232"/>
    </row>
    <row r="76" spans="1:17" ht="9.9499999999999993" customHeight="1" thickTop="1">
      <c r="A76" s="234"/>
      <c r="E76" s="230"/>
      <c r="H76" s="234"/>
      <c r="L76" s="230"/>
      <c r="N76" s="232"/>
      <c r="Q76" s="232"/>
    </row>
    <row r="77" spans="1:17">
      <c r="A77" s="249" t="s">
        <v>814</v>
      </c>
      <c r="E77" s="250">
        <v>0</v>
      </c>
      <c r="H77" s="249" t="s">
        <v>814</v>
      </c>
      <c r="K77" s="216"/>
      <c r="L77" s="250">
        <v>0</v>
      </c>
      <c r="N77" s="232"/>
      <c r="Q77" s="232"/>
    </row>
    <row r="78" spans="1:17">
      <c r="A78" s="249" t="s">
        <v>815</v>
      </c>
      <c r="E78" s="250">
        <f>E75-E77</f>
        <v>29750</v>
      </c>
      <c r="H78" s="249" t="s">
        <v>815</v>
      </c>
      <c r="K78" s="216"/>
      <c r="L78" s="250">
        <f>L75-L77</f>
        <v>545367.1875</v>
      </c>
      <c r="N78" s="232"/>
      <c r="Q78" s="232"/>
    </row>
    <row r="79" spans="1:17" ht="9.9499999999999993" customHeight="1" thickBot="1">
      <c r="A79" s="260"/>
      <c r="B79" s="261"/>
      <c r="C79" s="261"/>
      <c r="D79" s="261"/>
      <c r="E79" s="230" t="s">
        <v>690</v>
      </c>
      <c r="H79" s="234"/>
      <c r="L79" s="230" t="s">
        <v>690</v>
      </c>
      <c r="N79" s="232"/>
      <c r="Q79" s="232"/>
    </row>
    <row r="80" spans="1:17" ht="16.5" thickTop="1" thickBot="1">
      <c r="A80" s="221" t="s">
        <v>816</v>
      </c>
      <c r="B80" s="222"/>
      <c r="C80" s="222"/>
      <c r="D80" s="222"/>
      <c r="E80" s="248" t="e">
        <f>E75/C9</f>
        <v>#DIV/0!</v>
      </c>
      <c r="H80" s="221" t="s">
        <v>816</v>
      </c>
      <c r="I80" s="222"/>
      <c r="J80" s="222"/>
      <c r="K80" s="222"/>
      <c r="L80" s="248">
        <f>L75/J9</f>
        <v>36357.8125</v>
      </c>
      <c r="N80" s="232"/>
      <c r="Q80" s="232"/>
    </row>
    <row r="81" spans="12:12" ht="15.75" thickTop="1"/>
    <row r="83" spans="12:12">
      <c r="L83" s="262">
        <f>L75/12</f>
        <v>45447.265625</v>
      </c>
    </row>
  </sheetData>
  <mergeCells count="5">
    <mergeCell ref="G4:H4"/>
    <mergeCell ref="A7:E7"/>
    <mergeCell ref="H7:L7"/>
    <mergeCell ref="A14:D14"/>
    <mergeCell ref="H14:K14"/>
  </mergeCells>
  <pageMargins left="0.7" right="0.7" top="0.75" bottom="0.75" header="0.3" footer="0.3"/>
  <pageSetup scale="62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9B0BF-FC0A-4C3E-8171-E3969C356E59}">
  <sheetPr>
    <pageSetUpPr fitToPage="1"/>
  </sheetPr>
  <dimension ref="A1:M45"/>
  <sheetViews>
    <sheetView zoomScaleNormal="100" workbookViewId="0">
      <selection activeCell="D7" sqref="D7"/>
    </sheetView>
  </sheetViews>
  <sheetFormatPr defaultColWidth="9.140625" defaultRowHeight="15"/>
  <cols>
    <col min="1" max="1" width="22.42578125" style="212" bestFit="1" customWidth="1"/>
    <col min="2" max="2" width="9.7109375" style="212" bestFit="1" customWidth="1"/>
    <col min="3" max="3" width="11.85546875" style="212" bestFit="1" customWidth="1"/>
    <col min="4" max="4" width="12" style="264" bestFit="1" customWidth="1"/>
    <col min="5" max="5" width="15.42578125" style="264" customWidth="1"/>
    <col min="6" max="6" width="2" style="212" customWidth="1"/>
    <col min="7" max="7" width="22.42578125" style="212" bestFit="1" customWidth="1"/>
    <col min="8" max="8" width="9.140625" style="212"/>
    <col min="9" max="9" width="11.85546875" style="212" bestFit="1" customWidth="1"/>
    <col min="10" max="10" width="12" style="264" bestFit="1" customWidth="1"/>
    <col min="11" max="11" width="15" style="264" customWidth="1"/>
    <col min="12" max="16384" width="9.140625" style="212"/>
  </cols>
  <sheetData>
    <row r="1" spans="1:13">
      <c r="D1" s="212"/>
      <c r="E1" s="213" t="s">
        <v>775</v>
      </c>
      <c r="J1" s="212"/>
      <c r="K1" s="212"/>
    </row>
    <row r="2" spans="1:13">
      <c r="D2" s="212"/>
      <c r="E2" s="213" t="s">
        <v>776</v>
      </c>
      <c r="I2" s="212" t="s">
        <v>849</v>
      </c>
      <c r="J2" s="212"/>
      <c r="K2" s="212"/>
    </row>
    <row r="3" spans="1:13">
      <c r="D3" s="212"/>
      <c r="E3" s="213" t="s">
        <v>777</v>
      </c>
      <c r="J3" s="212"/>
      <c r="K3" s="212"/>
    </row>
    <row r="4" spans="1:13">
      <c r="D4" s="212"/>
      <c r="E4" s="213" t="s">
        <v>778</v>
      </c>
      <c r="G4" s="500"/>
      <c r="H4" s="500"/>
      <c r="I4" s="214"/>
      <c r="J4" s="214"/>
      <c r="K4" s="214"/>
      <c r="L4" s="214"/>
      <c r="M4" s="214"/>
    </row>
    <row r="5" spans="1:13">
      <c r="D5" s="212"/>
      <c r="E5" s="213" t="s">
        <v>779</v>
      </c>
      <c r="G5" s="215"/>
      <c r="J5" s="212"/>
      <c r="K5" s="212"/>
      <c r="L5" s="213"/>
    </row>
    <row r="6" spans="1:13">
      <c r="D6" s="212"/>
      <c r="E6" s="213"/>
      <c r="J6" s="212"/>
      <c r="K6" s="212"/>
      <c r="L6" s="213"/>
    </row>
    <row r="7" spans="1:13" ht="18.75">
      <c r="A7" s="506" t="s">
        <v>850</v>
      </c>
      <c r="B7" s="506"/>
      <c r="C7" s="506"/>
      <c r="D7" s="506"/>
      <c r="E7" s="506"/>
      <c r="F7" s="506"/>
      <c r="G7" s="506"/>
      <c r="H7" s="506"/>
      <c r="I7" s="506"/>
      <c r="J7" s="506"/>
      <c r="K7" s="506"/>
    </row>
    <row r="8" spans="1:13">
      <c r="A8" s="263"/>
    </row>
    <row r="9" spans="1:13">
      <c r="A9" s="217" t="s">
        <v>851</v>
      </c>
      <c r="B9" s="265"/>
      <c r="C9" s="266"/>
      <c r="D9" s="267"/>
      <c r="G9" s="217" t="s">
        <v>852</v>
      </c>
      <c r="H9" s="265"/>
      <c r="I9" s="266"/>
      <c r="J9" s="267"/>
    </row>
    <row r="10" spans="1:13">
      <c r="A10" s="217" t="s">
        <v>853</v>
      </c>
      <c r="B10" s="268">
        <v>2</v>
      </c>
      <c r="C10" s="217" t="s">
        <v>92</v>
      </c>
      <c r="G10" s="217" t="s">
        <v>854</v>
      </c>
      <c r="H10" s="268">
        <v>18</v>
      </c>
      <c r="I10" s="217" t="s">
        <v>92</v>
      </c>
    </row>
    <row r="11" spans="1:13" ht="15.75" thickBot="1"/>
    <row r="12" spans="1:13" ht="16.5" thickTop="1" thickBot="1">
      <c r="A12" s="269" t="s">
        <v>855</v>
      </c>
      <c r="B12" s="270" t="s">
        <v>92</v>
      </c>
      <c r="C12" s="270" t="s">
        <v>856</v>
      </c>
      <c r="D12" s="271" t="s">
        <v>857</v>
      </c>
      <c r="E12" s="272" t="s">
        <v>178</v>
      </c>
      <c r="G12" s="269" t="s">
        <v>855</v>
      </c>
      <c r="H12" s="270" t="s">
        <v>92</v>
      </c>
      <c r="I12" s="270" t="s">
        <v>856</v>
      </c>
      <c r="J12" s="271" t="s">
        <v>857</v>
      </c>
      <c r="K12" s="272" t="s">
        <v>178</v>
      </c>
    </row>
    <row r="13" spans="1:13" ht="15.75" thickTop="1">
      <c r="A13" s="273" t="s">
        <v>858</v>
      </c>
      <c r="B13" s="274">
        <f>B10</f>
        <v>2</v>
      </c>
      <c r="C13" s="275">
        <v>341</v>
      </c>
      <c r="D13" s="276">
        <v>0.5</v>
      </c>
      <c r="E13" s="277">
        <f>(B13*4.33*7)*C13*D13</f>
        <v>10335.710000000001</v>
      </c>
      <c r="G13" s="273" t="s">
        <v>858</v>
      </c>
      <c r="H13" s="274">
        <f>H10</f>
        <v>18</v>
      </c>
      <c r="I13" s="275">
        <v>0</v>
      </c>
      <c r="J13" s="276">
        <v>0.5</v>
      </c>
      <c r="K13" s="277">
        <f t="shared" ref="K13:K15" si="0">(H13*4.33*7)*I13*J13</f>
        <v>0</v>
      </c>
    </row>
    <row r="14" spans="1:13">
      <c r="A14" s="278" t="s">
        <v>859</v>
      </c>
      <c r="B14" s="279">
        <f>B10</f>
        <v>2</v>
      </c>
      <c r="C14" s="280">
        <v>0</v>
      </c>
      <c r="D14" s="281">
        <v>0.15</v>
      </c>
      <c r="E14" s="282">
        <f t="shared" ref="E14:E15" si="1">(B14*4.33*7)*C14*D14</f>
        <v>0</v>
      </c>
      <c r="G14" s="278" t="s">
        <v>859</v>
      </c>
      <c r="H14" s="279">
        <f>H10</f>
        <v>18</v>
      </c>
      <c r="I14" s="280">
        <v>388</v>
      </c>
      <c r="J14" s="281">
        <v>0.15</v>
      </c>
      <c r="K14" s="282">
        <f t="shared" si="0"/>
        <v>31752.755999999994</v>
      </c>
    </row>
    <row r="15" spans="1:13">
      <c r="A15" s="278" t="s">
        <v>860</v>
      </c>
      <c r="B15" s="279">
        <f>B10</f>
        <v>2</v>
      </c>
      <c r="C15" s="280">
        <v>0</v>
      </c>
      <c r="D15" s="281">
        <v>0.15</v>
      </c>
      <c r="E15" s="282">
        <f t="shared" si="1"/>
        <v>0</v>
      </c>
      <c r="G15" s="278" t="s">
        <v>860</v>
      </c>
      <c r="H15" s="279">
        <f>H10</f>
        <v>18</v>
      </c>
      <c r="I15" s="280">
        <v>388</v>
      </c>
      <c r="J15" s="281">
        <v>0.15</v>
      </c>
      <c r="K15" s="282">
        <f t="shared" si="0"/>
        <v>31752.755999999994</v>
      </c>
    </row>
    <row r="16" spans="1:13">
      <c r="A16" s="278" t="s">
        <v>861</v>
      </c>
      <c r="B16" s="279">
        <f>B10</f>
        <v>2</v>
      </c>
      <c r="C16" s="280">
        <v>341</v>
      </c>
      <c r="D16" s="281">
        <v>0.15</v>
      </c>
      <c r="E16" s="282">
        <f>(B16*4.33*7)*C16*D16</f>
        <v>3100.7130000000002</v>
      </c>
      <c r="G16" s="278" t="s">
        <v>861</v>
      </c>
      <c r="H16" s="279">
        <f>H10</f>
        <v>18</v>
      </c>
      <c r="I16" s="280">
        <v>0</v>
      </c>
      <c r="J16" s="281">
        <v>0.15</v>
      </c>
      <c r="K16" s="282">
        <f>(H16*4.33*7)*I16*J16</f>
        <v>0</v>
      </c>
    </row>
    <row r="17" spans="1:11">
      <c r="A17" s="278" t="s">
        <v>862</v>
      </c>
      <c r="B17" s="279">
        <f>B10</f>
        <v>2</v>
      </c>
      <c r="C17" s="280">
        <v>0</v>
      </c>
      <c r="D17" s="281">
        <v>0.15</v>
      </c>
      <c r="E17" s="282">
        <f>(B17*4.33*7)*C17*D17</f>
        <v>0</v>
      </c>
      <c r="G17" s="278" t="s">
        <v>862</v>
      </c>
      <c r="H17" s="279">
        <f>H10</f>
        <v>18</v>
      </c>
      <c r="I17" s="280">
        <v>0</v>
      </c>
      <c r="J17" s="281">
        <v>0.15</v>
      </c>
      <c r="K17" s="282">
        <f>(H17*4.33*7)*I17*J17</f>
        <v>0</v>
      </c>
    </row>
    <row r="18" spans="1:11">
      <c r="A18" s="278" t="s">
        <v>863</v>
      </c>
      <c r="B18" s="279">
        <f>B10</f>
        <v>2</v>
      </c>
      <c r="C18" s="280">
        <v>0</v>
      </c>
      <c r="D18" s="281">
        <v>7.36</v>
      </c>
      <c r="E18" s="282">
        <f>(B18*4.33*7)*C18*D18</f>
        <v>0</v>
      </c>
      <c r="G18" s="278" t="s">
        <v>863</v>
      </c>
      <c r="H18" s="279">
        <f>H10</f>
        <v>18</v>
      </c>
      <c r="I18" s="280">
        <v>13</v>
      </c>
      <c r="J18" s="281">
        <v>7.36</v>
      </c>
      <c r="K18" s="282">
        <f>(H18*4.33*7)*I18*J18</f>
        <v>52201.094399999994</v>
      </c>
    </row>
    <row r="19" spans="1:11" ht="30.75" thickBot="1">
      <c r="A19" s="283" t="s">
        <v>864</v>
      </c>
      <c r="B19" s="284"/>
      <c r="C19" s="285">
        <v>0</v>
      </c>
      <c r="D19" s="286">
        <v>100</v>
      </c>
      <c r="E19" s="287">
        <f>D19*C19</f>
        <v>0</v>
      </c>
      <c r="G19" s="283" t="s">
        <v>864</v>
      </c>
      <c r="H19" s="284"/>
      <c r="I19" s="285">
        <v>7</v>
      </c>
      <c r="J19" s="286">
        <v>100</v>
      </c>
      <c r="K19" s="287">
        <f>J19*I19</f>
        <v>700</v>
      </c>
    </row>
    <row r="20" spans="1:11" ht="16.5" thickTop="1" thickBot="1">
      <c r="A20" s="221" t="s">
        <v>865</v>
      </c>
      <c r="B20" s="288"/>
      <c r="C20" s="288"/>
      <c r="D20" s="289"/>
      <c r="E20" s="290">
        <f>SUM(E13:E19)</f>
        <v>13436.423000000001</v>
      </c>
      <c r="G20" s="221" t="s">
        <v>866</v>
      </c>
      <c r="H20" s="288"/>
      <c r="I20" s="288"/>
      <c r="J20" s="289"/>
      <c r="K20" s="290">
        <f>SUM(K13:K19)</f>
        <v>116406.60639999999</v>
      </c>
    </row>
    <row r="21" spans="1:11" ht="15.75" thickTop="1"/>
    <row r="22" spans="1:11">
      <c r="A22" s="217" t="s">
        <v>867</v>
      </c>
      <c r="B22" s="265"/>
      <c r="C22" s="266"/>
      <c r="D22" s="267"/>
      <c r="G22" s="217" t="s">
        <v>868</v>
      </c>
      <c r="H22" s="265"/>
      <c r="I22" s="266"/>
      <c r="J22" s="267"/>
    </row>
    <row r="23" spans="1:11">
      <c r="A23" s="217" t="s">
        <v>869</v>
      </c>
      <c r="B23" s="268">
        <v>20</v>
      </c>
      <c r="C23" s="217" t="s">
        <v>92</v>
      </c>
      <c r="G23" s="217" t="s">
        <v>870</v>
      </c>
      <c r="H23" s="268">
        <v>24</v>
      </c>
      <c r="I23" s="217" t="s">
        <v>92</v>
      </c>
    </row>
    <row r="24" spans="1:11" ht="15.75" thickBot="1"/>
    <row r="25" spans="1:11" ht="16.5" thickTop="1" thickBot="1">
      <c r="A25" s="269" t="s">
        <v>855</v>
      </c>
      <c r="B25" s="270" t="s">
        <v>92</v>
      </c>
      <c r="C25" s="270" t="s">
        <v>856</v>
      </c>
      <c r="D25" s="271" t="s">
        <v>857</v>
      </c>
      <c r="E25" s="272" t="s">
        <v>178</v>
      </c>
      <c r="G25" s="269" t="s">
        <v>855</v>
      </c>
      <c r="H25" s="270" t="s">
        <v>92</v>
      </c>
      <c r="I25" s="270" t="s">
        <v>856</v>
      </c>
      <c r="J25" s="271" t="s">
        <v>857</v>
      </c>
      <c r="K25" s="272" t="s">
        <v>178</v>
      </c>
    </row>
    <row r="26" spans="1:11" ht="15.75" thickTop="1">
      <c r="A26" s="273" t="s">
        <v>858</v>
      </c>
      <c r="B26" s="274">
        <f>B23</f>
        <v>20</v>
      </c>
      <c r="C26" s="275">
        <v>0</v>
      </c>
      <c r="D26" s="276">
        <v>0.5</v>
      </c>
      <c r="E26" s="277">
        <f t="shared" ref="E26:E28" si="2">(B26*4.33*7)*C26*D26</f>
        <v>0</v>
      </c>
      <c r="G26" s="273" t="s">
        <v>858</v>
      </c>
      <c r="H26" s="274">
        <f>H23</f>
        <v>24</v>
      </c>
      <c r="I26" s="275">
        <v>0</v>
      </c>
      <c r="J26" s="276">
        <v>0.5</v>
      </c>
      <c r="K26" s="277">
        <f t="shared" ref="K26:K28" si="3">(H26*4.33*7)*I26*J26</f>
        <v>0</v>
      </c>
    </row>
    <row r="27" spans="1:11">
      <c r="A27" s="278" t="s">
        <v>859</v>
      </c>
      <c r="B27" s="279">
        <f>B23</f>
        <v>20</v>
      </c>
      <c r="C27" s="280">
        <v>0</v>
      </c>
      <c r="D27" s="281">
        <v>0.15</v>
      </c>
      <c r="E27" s="282">
        <f t="shared" si="2"/>
        <v>0</v>
      </c>
      <c r="G27" s="278" t="s">
        <v>859</v>
      </c>
      <c r="H27" s="279">
        <f>H23</f>
        <v>24</v>
      </c>
      <c r="I27" s="280">
        <v>0</v>
      </c>
      <c r="J27" s="281">
        <v>0.15</v>
      </c>
      <c r="K27" s="282">
        <f t="shared" si="3"/>
        <v>0</v>
      </c>
    </row>
    <row r="28" spans="1:11">
      <c r="A28" s="278" t="s">
        <v>860</v>
      </c>
      <c r="B28" s="279">
        <f>B23</f>
        <v>20</v>
      </c>
      <c r="C28" s="280">
        <v>0</v>
      </c>
      <c r="D28" s="281">
        <v>0.15</v>
      </c>
      <c r="E28" s="282">
        <f t="shared" si="2"/>
        <v>0</v>
      </c>
      <c r="G28" s="278" t="s">
        <v>860</v>
      </c>
      <c r="H28" s="279">
        <f>H23</f>
        <v>24</v>
      </c>
      <c r="I28" s="280">
        <v>0</v>
      </c>
      <c r="J28" s="281">
        <v>0.15</v>
      </c>
      <c r="K28" s="282">
        <f t="shared" si="3"/>
        <v>0</v>
      </c>
    </row>
    <row r="29" spans="1:11">
      <c r="A29" s="278" t="s">
        <v>861</v>
      </c>
      <c r="B29" s="279">
        <f>B23</f>
        <v>20</v>
      </c>
      <c r="C29" s="280">
        <v>0</v>
      </c>
      <c r="D29" s="281">
        <v>0.15</v>
      </c>
      <c r="E29" s="282">
        <f>(B29*4.33*7)*C29*D29</f>
        <v>0</v>
      </c>
      <c r="G29" s="278" t="s">
        <v>861</v>
      </c>
      <c r="H29" s="279">
        <f>H23</f>
        <v>24</v>
      </c>
      <c r="I29" s="280">
        <v>0</v>
      </c>
      <c r="J29" s="281">
        <v>0.15</v>
      </c>
      <c r="K29" s="282">
        <f>(H29*4.33*7)*I29*J29</f>
        <v>0</v>
      </c>
    </row>
    <row r="30" spans="1:11">
      <c r="A30" s="278" t="s">
        <v>862</v>
      </c>
      <c r="B30" s="279">
        <f>B23</f>
        <v>20</v>
      </c>
      <c r="C30" s="280">
        <v>0</v>
      </c>
      <c r="D30" s="281">
        <v>0.15</v>
      </c>
      <c r="E30" s="282">
        <f>(B30*4.33*7)*C30*D30</f>
        <v>0</v>
      </c>
      <c r="G30" s="278" t="s">
        <v>862</v>
      </c>
      <c r="H30" s="279">
        <f>H23</f>
        <v>24</v>
      </c>
      <c r="I30" s="280">
        <v>0</v>
      </c>
      <c r="J30" s="281">
        <v>0.15</v>
      </c>
      <c r="K30" s="282">
        <f>(H30*4.33*7)*I30*J30</f>
        <v>0</v>
      </c>
    </row>
    <row r="31" spans="1:11">
      <c r="A31" s="278" t="s">
        <v>863</v>
      </c>
      <c r="B31" s="279">
        <f>B23</f>
        <v>20</v>
      </c>
      <c r="C31" s="280">
        <v>12</v>
      </c>
      <c r="D31" s="281">
        <v>7.36</v>
      </c>
      <c r="E31" s="282">
        <f>(B31*4.33*7)*C31*D31</f>
        <v>53539.584000000003</v>
      </c>
      <c r="G31" s="278" t="s">
        <v>863</v>
      </c>
      <c r="H31" s="279">
        <f>H23</f>
        <v>24</v>
      </c>
      <c r="I31" s="280">
        <v>23</v>
      </c>
      <c r="J31" s="281">
        <v>7.36</v>
      </c>
      <c r="K31" s="282">
        <f>(H31*4.33*7)*I31*J31</f>
        <v>123141.04320000003</v>
      </c>
    </row>
    <row r="32" spans="1:11" ht="30.75" thickBot="1">
      <c r="A32" s="283" t="s">
        <v>864</v>
      </c>
      <c r="B32" s="284"/>
      <c r="C32" s="285">
        <v>6</v>
      </c>
      <c r="D32" s="286">
        <v>100</v>
      </c>
      <c r="E32" s="287">
        <f>D32*C32</f>
        <v>600</v>
      </c>
      <c r="G32" s="283" t="s">
        <v>864</v>
      </c>
      <c r="H32" s="284"/>
      <c r="I32" s="285">
        <v>13</v>
      </c>
      <c r="J32" s="286">
        <v>100</v>
      </c>
      <c r="K32" s="287">
        <f>J32*I32</f>
        <v>1300</v>
      </c>
    </row>
    <row r="33" spans="1:11" ht="16.5" thickTop="1" thickBot="1">
      <c r="A33" s="221" t="s">
        <v>871</v>
      </c>
      <c r="B33" s="288"/>
      <c r="C33" s="288"/>
      <c r="D33" s="289"/>
      <c r="E33" s="290">
        <f>SUM(E26:E32)</f>
        <v>54139.584000000003</v>
      </c>
      <c r="G33" s="221" t="s">
        <v>872</v>
      </c>
      <c r="H33" s="288"/>
      <c r="I33" s="288"/>
      <c r="J33" s="289"/>
      <c r="K33" s="290">
        <f>SUM(K26:K32)</f>
        <v>124441.04320000003</v>
      </c>
    </row>
    <row r="34" spans="1:11" ht="16.5" thickTop="1" thickBot="1"/>
    <row r="35" spans="1:11" ht="9.9499999999999993" customHeight="1" thickTop="1">
      <c r="A35" s="291"/>
      <c r="B35" s="292"/>
      <c r="C35" s="292"/>
      <c r="D35" s="293"/>
      <c r="E35" s="294"/>
    </row>
    <row r="36" spans="1:11">
      <c r="A36" s="249" t="s">
        <v>873</v>
      </c>
      <c r="B36" s="216"/>
      <c r="C36" s="216"/>
      <c r="D36" s="295"/>
      <c r="E36" s="296">
        <f>E20+E33+K20+K33</f>
        <v>308423.65659999999</v>
      </c>
    </row>
    <row r="37" spans="1:11">
      <c r="A37" s="234"/>
      <c r="E37" s="297"/>
    </row>
    <row r="38" spans="1:11">
      <c r="A38" s="249" t="s">
        <v>874</v>
      </c>
      <c r="B38" s="216"/>
      <c r="C38" s="216"/>
      <c r="D38" s="295"/>
      <c r="E38" s="296" t="e">
        <f>E36/G5</f>
        <v>#DIV/0!</v>
      </c>
    </row>
    <row r="39" spans="1:11" ht="9.9499999999999993" customHeight="1" thickBot="1">
      <c r="A39" s="258"/>
      <c r="B39" s="259"/>
      <c r="C39" s="259"/>
      <c r="D39" s="298"/>
      <c r="E39" s="299"/>
    </row>
    <row r="40" spans="1:11" ht="15.75" thickTop="1"/>
    <row r="41" spans="1:11">
      <c r="A41" s="216" t="s">
        <v>875</v>
      </c>
      <c r="B41" s="216"/>
      <c r="C41" s="216"/>
      <c r="D41" s="295"/>
      <c r="E41" s="300">
        <f>E32+E31+K19+K18+K32+K31</f>
        <v>231481.72160000005</v>
      </c>
    </row>
    <row r="42" spans="1:11">
      <c r="A42" s="216" t="s">
        <v>850</v>
      </c>
      <c r="E42" s="300">
        <f>E36-E41</f>
        <v>76941.934999999939</v>
      </c>
    </row>
    <row r="44" spans="1:11">
      <c r="A44" s="216" t="s">
        <v>876</v>
      </c>
      <c r="E44" s="300">
        <v>288000</v>
      </c>
    </row>
    <row r="45" spans="1:11">
      <c r="A45" s="216" t="s">
        <v>815</v>
      </c>
      <c r="E45" s="300">
        <f>E36-E44</f>
        <v>20423.656599999988</v>
      </c>
    </row>
  </sheetData>
  <mergeCells count="2">
    <mergeCell ref="G4:H4"/>
    <mergeCell ref="A7:K7"/>
  </mergeCells>
  <pageMargins left="0.7" right="0.7" top="0.75" bottom="0.75" header="0.3" footer="0.3"/>
  <pageSetup scale="73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894CD-16EB-4E81-B223-56A5072D8839}">
  <sheetPr codeName="Sheet21"/>
  <dimension ref="A1:C9"/>
  <sheetViews>
    <sheetView workbookViewId="0">
      <selection activeCell="D7" sqref="D7"/>
    </sheetView>
  </sheetViews>
  <sheetFormatPr defaultRowHeight="13.5"/>
  <cols>
    <col min="1" max="1" width="26.7109375" bestFit="1" customWidth="1"/>
    <col min="2" max="2" width="15.85546875" bestFit="1" customWidth="1"/>
    <col min="3" max="3" width="18.140625" customWidth="1"/>
    <col min="4" max="4" width="24.28515625" bestFit="1" customWidth="1"/>
  </cols>
  <sheetData>
    <row r="1" spans="1:3" ht="14.25" thickBot="1"/>
    <row r="2" spans="1:3" ht="15.75" thickBot="1">
      <c r="A2" s="208" t="s">
        <v>107</v>
      </c>
      <c r="B2" s="209"/>
      <c r="C2" s="210"/>
    </row>
    <row r="3" spans="1:3" ht="14.25" thickBot="1">
      <c r="A3" s="26"/>
      <c r="B3" s="10"/>
      <c r="C3" s="27"/>
    </row>
    <row r="4" spans="1:3">
      <c r="A4" s="29" t="s">
        <v>877</v>
      </c>
      <c r="B4" s="154">
        <v>20000</v>
      </c>
      <c r="C4" s="21"/>
    </row>
    <row r="5" spans="1:3">
      <c r="A5" s="29" t="s">
        <v>878</v>
      </c>
      <c r="B5" s="23">
        <v>1</v>
      </c>
      <c r="C5" s="23"/>
    </row>
    <row r="6" spans="1:3">
      <c r="A6" s="29" t="s">
        <v>879</v>
      </c>
      <c r="B6" s="23">
        <v>0.9</v>
      </c>
      <c r="C6" s="23"/>
    </row>
    <row r="7" spans="1:3" ht="14.25" thickBot="1">
      <c r="A7" s="29" t="s">
        <v>880</v>
      </c>
      <c r="B7" s="23">
        <v>0.623</v>
      </c>
      <c r="C7" s="23"/>
    </row>
    <row r="8" spans="1:3" ht="14.25" thickBot="1">
      <c r="A8" s="10"/>
      <c r="B8" s="10"/>
      <c r="C8" s="10"/>
    </row>
    <row r="9" spans="1:3" ht="14.25" thickBot="1">
      <c r="A9" s="36" t="s">
        <v>881</v>
      </c>
      <c r="B9" s="37"/>
      <c r="C9" s="211">
        <f>B4*B5*B6*B7</f>
        <v>11214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8E8B0-256D-43BD-BCF2-D464DC488F1C}">
  <sheetPr codeName="Sheet19"/>
  <dimension ref="A1:M218"/>
  <sheetViews>
    <sheetView showWhiteSpace="0" topLeftCell="A60" workbookViewId="0">
      <selection activeCell="D7" sqref="D7"/>
    </sheetView>
  </sheetViews>
  <sheetFormatPr defaultColWidth="9.140625" defaultRowHeight="14.25"/>
  <cols>
    <col min="1" max="2" width="15.140625" style="5" bestFit="1" customWidth="1"/>
    <col min="3" max="3" width="36.140625" style="4" bestFit="1" customWidth="1"/>
    <col min="4" max="4" width="26.42578125" style="4" hidden="1" customWidth="1"/>
    <col min="5" max="5" width="13.85546875" style="4" hidden="1" customWidth="1"/>
    <col min="6" max="6" width="7.5703125" style="4" hidden="1" customWidth="1"/>
    <col min="7" max="7" width="15.140625" style="4" hidden="1" customWidth="1"/>
    <col min="8" max="8" width="20.140625" style="4" bestFit="1" customWidth="1"/>
    <col min="9" max="9" width="16.28515625" style="4" bestFit="1" customWidth="1"/>
    <col min="10" max="10" width="13.85546875" style="4" bestFit="1" customWidth="1"/>
    <col min="11" max="11" width="10" style="4" bestFit="1" customWidth="1"/>
    <col min="12" max="12" width="9.140625" style="4"/>
    <col min="13" max="13" width="11.28515625" style="4" bestFit="1" customWidth="1"/>
    <col min="14" max="16384" width="9.140625" style="4"/>
  </cols>
  <sheetData>
    <row r="1" spans="1:13">
      <c r="A1" s="4" t="s">
        <v>882</v>
      </c>
      <c r="B1" s="4" t="s">
        <v>883</v>
      </c>
      <c r="C1" s="4" t="s">
        <v>91</v>
      </c>
      <c r="D1" s="4" t="s">
        <v>884</v>
      </c>
      <c r="E1" s="4" t="s">
        <v>885</v>
      </c>
      <c r="F1" s="4" t="s">
        <v>886</v>
      </c>
      <c r="G1" s="4" t="s">
        <v>887</v>
      </c>
      <c r="H1" s="4" t="s">
        <v>888</v>
      </c>
      <c r="I1" s="4" t="s">
        <v>889</v>
      </c>
      <c r="J1" s="4" t="s">
        <v>890</v>
      </c>
      <c r="K1" s="4" t="s">
        <v>891</v>
      </c>
    </row>
    <row r="2" spans="1:13">
      <c r="A2" s="4" t="s">
        <v>892</v>
      </c>
      <c r="B2" s="5" t="s">
        <v>179</v>
      </c>
      <c r="C2" s="4" t="s">
        <v>404</v>
      </c>
      <c r="E2" s="4">
        <v>1</v>
      </c>
      <c r="F2" s="4" t="s">
        <v>229</v>
      </c>
      <c r="H2" s="138">
        <f>SUMIF('STEP 2 - GCs'!$C$2:$C$603, 'STEP 2 - GCs'!#REF!, 'STEP 2 - GCs'!$I$2:$I$603)</f>
        <v>0</v>
      </c>
    </row>
    <row r="3" spans="1:13">
      <c r="A3" s="4" t="s">
        <v>893</v>
      </c>
      <c r="B3" s="5" t="s">
        <v>179</v>
      </c>
      <c r="C3" s="4" t="s">
        <v>228</v>
      </c>
      <c r="E3" s="4">
        <v>1</v>
      </c>
      <c r="F3" s="4" t="s">
        <v>229</v>
      </c>
      <c r="H3" s="138">
        <f>SUMIF('STEP 2 - GCs'!$C$2:$C$603, 'STEP 2 - GCs'!C19, 'STEP 2 - GCs'!$I$2:$I$603)</f>
        <v>0</v>
      </c>
      <c r="M3" s="138"/>
    </row>
    <row r="4" spans="1:13">
      <c r="A4" s="4" t="s">
        <v>894</v>
      </c>
      <c r="B4" s="5" t="s">
        <v>179</v>
      </c>
      <c r="C4" s="4" t="s">
        <v>231</v>
      </c>
      <c r="E4" s="4">
        <v>1</v>
      </c>
      <c r="F4" s="4" t="s">
        <v>229</v>
      </c>
      <c r="H4" s="138">
        <f>SUMIF('STEP 2 - GCs'!$C$2:$C$603, 'STEP 2 - GCs'!C20, 'STEP 2 - GCs'!$I$2:$I$603)</f>
        <v>0</v>
      </c>
    </row>
    <row r="5" spans="1:13">
      <c r="A5" s="4" t="s">
        <v>895</v>
      </c>
      <c r="B5" s="5" t="s">
        <v>179</v>
      </c>
      <c r="C5" s="4" t="s">
        <v>233</v>
      </c>
      <c r="E5" s="4">
        <v>1</v>
      </c>
      <c r="F5" s="4" t="s">
        <v>229</v>
      </c>
      <c r="H5" s="138">
        <f>SUMIF('STEP 2 - GCs'!$C$2:$C$603, 'STEP 2 - GCs'!C21, 'STEP 2 - GCs'!$I$2:$I$603)</f>
        <v>0</v>
      </c>
    </row>
    <row r="6" spans="1:13">
      <c r="A6" s="4" t="s">
        <v>896</v>
      </c>
      <c r="B6" s="5" t="s">
        <v>179</v>
      </c>
      <c r="C6" s="4" t="s">
        <v>235</v>
      </c>
      <c r="E6" s="4">
        <v>1</v>
      </c>
      <c r="F6" s="4" t="s">
        <v>229</v>
      </c>
      <c r="H6" s="138">
        <f>SUMIF('STEP 2 - GCs'!$C$2:$C$603, 'STEP 2 - GCs'!C22, 'STEP 2 - GCs'!$I$2:$I$603)</f>
        <v>0</v>
      </c>
    </row>
    <row r="7" spans="1:13">
      <c r="A7" s="4" t="s">
        <v>897</v>
      </c>
      <c r="B7" s="5" t="s">
        <v>179</v>
      </c>
      <c r="C7" s="4" t="s">
        <v>237</v>
      </c>
      <c r="E7" s="4">
        <v>1</v>
      </c>
      <c r="F7" s="4" t="s">
        <v>229</v>
      </c>
      <c r="H7" s="138">
        <f>SUMIF('STEP 2 - GCs'!$C$2:$C$603, 'STEP 2 - GCs'!C23, 'STEP 2 - GCs'!$I$2:$I$603)</f>
        <v>0</v>
      </c>
    </row>
    <row r="8" spans="1:13">
      <c r="A8" s="4" t="s">
        <v>898</v>
      </c>
      <c r="B8" s="5" t="s">
        <v>179</v>
      </c>
      <c r="C8" s="4" t="s">
        <v>647</v>
      </c>
      <c r="E8" s="4">
        <v>1</v>
      </c>
      <c r="F8" s="4" t="s">
        <v>229</v>
      </c>
      <c r="H8" s="138">
        <f>SUMIF('STEP 4 - ESTIMATE'!$C$2:$C$630, 'STEP 4 - ESTIMATE'!C327, 'STEP 4 - ESTIMATE'!$I$2:$I$630)</f>
        <v>2742.5310400000003</v>
      </c>
    </row>
    <row r="9" spans="1:13">
      <c r="A9" s="4" t="s">
        <v>899</v>
      </c>
      <c r="B9" s="5" t="s">
        <v>179</v>
      </c>
      <c r="C9" s="4" t="s">
        <v>648</v>
      </c>
      <c r="E9" s="4">
        <v>1</v>
      </c>
      <c r="F9" s="4" t="s">
        <v>229</v>
      </c>
      <c r="H9" s="138">
        <f>SUMIF('STEP 4 - ESTIMATE'!$C$2:$C$630, 'STEP 4 - ESTIMATE'!C328, 'STEP 4 - ESTIMATE'!$I$2:$I$630)</f>
        <v>0</v>
      </c>
    </row>
    <row r="10" spans="1:13">
      <c r="A10" s="4" t="s">
        <v>900</v>
      </c>
      <c r="B10" s="5" t="s">
        <v>179</v>
      </c>
      <c r="C10" s="4" t="s">
        <v>901</v>
      </c>
      <c r="E10" s="4">
        <v>1</v>
      </c>
      <c r="F10" s="4" t="s">
        <v>229</v>
      </c>
      <c r="H10" s="138">
        <f>SUMIF('STEP 4 - ESTIMATE'!$C$2:$C$630, 'STEP 4 - ESTIMATE'!C329, 'STEP 4 - ESTIMATE'!$I$2:$I$630)</f>
        <v>0</v>
      </c>
    </row>
    <row r="11" spans="1:13">
      <c r="A11" s="4" t="s">
        <v>902</v>
      </c>
      <c r="B11" s="5" t="s">
        <v>903</v>
      </c>
      <c r="C11" s="4" t="s">
        <v>241</v>
      </c>
      <c r="E11" s="4">
        <v>1</v>
      </c>
      <c r="F11" s="4" t="s">
        <v>229</v>
      </c>
      <c r="H11" s="138">
        <f>SUMIF('STEP 2 - GCs'!$C$2:$C$603, 'STEP 2 - GCs'!C27, 'STEP 2 - GCs'!$I$2:$I$603)</f>
        <v>0</v>
      </c>
    </row>
    <row r="12" spans="1:13">
      <c r="A12" s="4" t="s">
        <v>904</v>
      </c>
      <c r="B12" s="5" t="s">
        <v>903</v>
      </c>
      <c r="C12" s="4" t="s">
        <v>243</v>
      </c>
      <c r="E12" s="4">
        <v>1</v>
      </c>
      <c r="F12" s="4" t="s">
        <v>229</v>
      </c>
      <c r="H12" s="138">
        <f>SUMIF('STEP 2 - GCs'!$C$2:$C$603, 'STEP 2 - GCs'!C28, 'STEP 2 - GCs'!$I$2:$I$603)</f>
        <v>23382</v>
      </c>
    </row>
    <row r="13" spans="1:13">
      <c r="A13" s="4" t="s">
        <v>905</v>
      </c>
      <c r="B13" s="5" t="s">
        <v>903</v>
      </c>
      <c r="C13" s="4" t="s">
        <v>245</v>
      </c>
      <c r="E13" s="4">
        <v>1</v>
      </c>
      <c r="F13" s="4" t="s">
        <v>229</v>
      </c>
      <c r="H13" s="138">
        <f>SUMIF('STEP 2 - GCs'!$C$2:$C$603, 'STEP 2 - GCs'!C29, 'STEP 2 - GCs'!$I$2:$I$603)</f>
        <v>0</v>
      </c>
    </row>
    <row r="14" spans="1:13">
      <c r="A14" s="4" t="s">
        <v>906</v>
      </c>
      <c r="B14" s="5" t="s">
        <v>903</v>
      </c>
      <c r="C14" s="4" t="s">
        <v>247</v>
      </c>
      <c r="E14" s="4">
        <v>1</v>
      </c>
      <c r="F14" s="4" t="s">
        <v>229</v>
      </c>
      <c r="H14" s="138">
        <f>SUMIF('STEP 2 - GCs'!$C$2:$C$603, 'STEP 2 - GCs'!C30, 'STEP 2 - GCs'!$I$2:$I$603)</f>
        <v>0</v>
      </c>
    </row>
    <row r="15" spans="1:13">
      <c r="A15" s="4" t="s">
        <v>907</v>
      </c>
      <c r="B15" s="5" t="s">
        <v>903</v>
      </c>
      <c r="C15" s="4" t="s">
        <v>219</v>
      </c>
      <c r="E15" s="4">
        <v>1</v>
      </c>
      <c r="F15" s="4" t="s">
        <v>229</v>
      </c>
      <c r="H15" s="138">
        <f>SUMIF('STEP 2 - GCs'!$C$2:$C$603, 'STEP 2 - GCs'!C12, 'STEP 2 - GCs'!$I$2:$I$603)</f>
        <v>43300</v>
      </c>
    </row>
    <row r="16" spans="1:13">
      <c r="A16" s="4" t="s">
        <v>908</v>
      </c>
      <c r="B16" s="5" t="s">
        <v>903</v>
      </c>
      <c r="C16" s="4" t="s">
        <v>222</v>
      </c>
      <c r="E16" s="4">
        <v>1</v>
      </c>
      <c r="F16" s="4" t="s">
        <v>229</v>
      </c>
      <c r="H16" s="138">
        <f>SUMIF('STEP 2 - GCs'!$C$2:$C$603, 'STEP 2 - GCs'!C13, 'STEP 2 - GCs'!$I$2:$I$603)</f>
        <v>0</v>
      </c>
    </row>
    <row r="17" spans="1:8">
      <c r="A17" s="4" t="s">
        <v>909</v>
      </c>
      <c r="B17" s="5" t="s">
        <v>903</v>
      </c>
      <c r="C17" s="4" t="s">
        <v>224</v>
      </c>
      <c r="E17" s="4">
        <v>1</v>
      </c>
      <c r="F17" s="4" t="s">
        <v>229</v>
      </c>
      <c r="H17" s="138">
        <f>SUMIF('STEP 2 - GCs'!$C$2:$C$603, 'STEP 2 - GCs'!C14, 'STEP 2 - GCs'!$I$2:$I$603)</f>
        <v>0</v>
      </c>
    </row>
    <row r="18" spans="1:8">
      <c r="A18" s="4" t="s">
        <v>910</v>
      </c>
      <c r="B18" s="5" t="s">
        <v>903</v>
      </c>
      <c r="C18" s="4" t="s">
        <v>249</v>
      </c>
      <c r="E18" s="4">
        <v>1</v>
      </c>
      <c r="F18" s="4" t="s">
        <v>229</v>
      </c>
      <c r="H18" s="138">
        <f>SUMIF('STEP 2 - GCs'!$C$2:$C$603, 'STEP 2 - GCs'!C31, 'STEP 2 - GCs'!$I$2:$I$603)</f>
        <v>0</v>
      </c>
    </row>
    <row r="19" spans="1:8">
      <c r="A19" s="4" t="s">
        <v>911</v>
      </c>
      <c r="B19" s="5" t="s">
        <v>179</v>
      </c>
      <c r="C19" s="4" t="s">
        <v>912</v>
      </c>
      <c r="E19" s="4">
        <v>1</v>
      </c>
      <c r="F19" s="4" t="s">
        <v>229</v>
      </c>
      <c r="H19" s="138">
        <f>SUMIF('STEP 2 - GCs'!$C$2:$C$603, 'STEP 2 - GCs'!C35, 'STEP 2 - GCs'!$I$2:$I$603)</f>
        <v>23.477800000000002</v>
      </c>
    </row>
    <row r="20" spans="1:8">
      <c r="A20" s="4" t="s">
        <v>913</v>
      </c>
      <c r="B20" s="5" t="s">
        <v>179</v>
      </c>
      <c r="C20" s="4" t="s">
        <v>257</v>
      </c>
      <c r="E20" s="4">
        <v>1</v>
      </c>
      <c r="F20" s="4" t="s">
        <v>229</v>
      </c>
      <c r="H20" s="138">
        <f>SUMIF('STEP 2 - GCs'!$C$2:$C$603, 'STEP 2 - GCs'!C36, 'STEP 2 - GCs'!$I$2:$I$603)</f>
        <v>1000</v>
      </c>
    </row>
    <row r="21" spans="1:8">
      <c r="A21" s="4" t="s">
        <v>914</v>
      </c>
      <c r="B21" s="5" t="s">
        <v>179</v>
      </c>
      <c r="C21" s="4" t="s">
        <v>260</v>
      </c>
      <c r="E21" s="4">
        <v>1</v>
      </c>
      <c r="F21" s="4" t="s">
        <v>229</v>
      </c>
      <c r="H21" s="138">
        <f>SUMIF('STEP 2 - GCs'!$C$2:$C$603, 'STEP 2 - GCs'!C37, 'STEP 2 - GCs'!$I$2:$I$603)</f>
        <v>2400</v>
      </c>
    </row>
    <row r="22" spans="1:8">
      <c r="A22" s="4" t="s">
        <v>915</v>
      </c>
      <c r="B22" s="5" t="s">
        <v>179</v>
      </c>
      <c r="C22" s="4" t="s">
        <v>262</v>
      </c>
      <c r="E22" s="4">
        <v>1</v>
      </c>
      <c r="F22" s="4" t="s">
        <v>229</v>
      </c>
      <c r="H22" s="138">
        <f>SUMIF('STEP 2 - GCs'!$C$2:$C$603, 'STEP 2 - GCs'!C38, 'STEP 2 - GCs'!$I$2:$I$603)</f>
        <v>0</v>
      </c>
    </row>
    <row r="23" spans="1:8">
      <c r="A23" s="4" t="s">
        <v>916</v>
      </c>
      <c r="B23" s="5" t="s">
        <v>179</v>
      </c>
      <c r="C23" s="4" t="s">
        <v>264</v>
      </c>
      <c r="E23" s="4">
        <v>1</v>
      </c>
      <c r="F23" s="4" t="s">
        <v>229</v>
      </c>
      <c r="H23" s="138">
        <f>SUMIF('STEP 2 - GCs'!$C$2:$C$603, 'STEP 2 - GCs'!C39, 'STEP 2 - GCs'!$I$2:$I$603)</f>
        <v>223.03909999999999</v>
      </c>
    </row>
    <row r="24" spans="1:8">
      <c r="A24" s="4" t="s">
        <v>917</v>
      </c>
      <c r="B24" s="5" t="s">
        <v>179</v>
      </c>
      <c r="C24" s="4" t="s">
        <v>267</v>
      </c>
      <c r="E24" s="4">
        <v>1</v>
      </c>
      <c r="F24" s="4" t="s">
        <v>229</v>
      </c>
      <c r="H24" s="138">
        <f>SUMIF('STEP 2 - GCs'!$C$2:$C$603, 'STEP 2 - GCs'!C40, 'STEP 2 - GCs'!$I$2:$I$603)</f>
        <v>1000</v>
      </c>
    </row>
    <row r="25" spans="1:8">
      <c r="A25" s="4" t="s">
        <v>918</v>
      </c>
      <c r="B25" s="5" t="s">
        <v>179</v>
      </c>
      <c r="C25" s="4" t="s">
        <v>919</v>
      </c>
      <c r="E25" s="4">
        <v>1</v>
      </c>
      <c r="F25" s="4" t="s">
        <v>229</v>
      </c>
      <c r="H25" s="138">
        <f>SUMIF('STEP 2 - GCs'!$C$2:$C$603, 'STEP 2 - GCs'!C41, 'STEP 2 - GCs'!$I$2:$I$603)</f>
        <v>10700</v>
      </c>
    </row>
    <row r="26" spans="1:8">
      <c r="A26" s="4" t="s">
        <v>920</v>
      </c>
      <c r="B26" s="5" t="s">
        <v>179</v>
      </c>
      <c r="C26" s="4" t="s">
        <v>272</v>
      </c>
      <c r="E26" s="4">
        <v>1</v>
      </c>
      <c r="F26" s="4" t="s">
        <v>229</v>
      </c>
      <c r="H26" s="138">
        <f>SUMIF('STEP 2 - GCs'!$C$2:$C$603, 'STEP 2 - GCs'!C43, 'STEP 2 - GCs'!$I$2:$I$603)</f>
        <v>270</v>
      </c>
    </row>
    <row r="27" spans="1:8">
      <c r="A27" s="4" t="s">
        <v>921</v>
      </c>
      <c r="B27" s="5" t="s">
        <v>179</v>
      </c>
      <c r="C27" s="4" t="s">
        <v>274</v>
      </c>
      <c r="E27" s="4">
        <v>1</v>
      </c>
      <c r="F27" s="4" t="s">
        <v>229</v>
      </c>
      <c r="H27" s="138">
        <f>SUMIF('STEP 2 - GCs'!$C$2:$C$603, 'STEP 2 - GCs'!C44, 'STEP 2 - GCs'!$I$2:$I$603)</f>
        <v>500</v>
      </c>
    </row>
    <row r="28" spans="1:8">
      <c r="A28" s="4" t="s">
        <v>922</v>
      </c>
      <c r="B28" s="5" t="s">
        <v>179</v>
      </c>
      <c r="C28" s="4" t="s">
        <v>276</v>
      </c>
      <c r="E28" s="4">
        <v>1</v>
      </c>
      <c r="F28" s="4" t="s">
        <v>229</v>
      </c>
      <c r="H28" s="138">
        <f>SUMIF('STEP 2 - GCs'!$C$2:$C$603, 'STEP 2 - GCs'!C45, 'STEP 2 - GCs'!$I$2:$I$603)</f>
        <v>600</v>
      </c>
    </row>
    <row r="29" spans="1:8">
      <c r="A29" s="4" t="s">
        <v>923</v>
      </c>
      <c r="B29" s="5" t="s">
        <v>179</v>
      </c>
      <c r="C29" s="4" t="s">
        <v>278</v>
      </c>
      <c r="E29" s="4">
        <v>1</v>
      </c>
      <c r="F29" s="4" t="s">
        <v>229</v>
      </c>
      <c r="H29" s="138">
        <f>SUMIF('STEP 2 - GCs'!$C$2:$C$603, 'STEP 2 - GCs'!C46, 'STEP 2 - GCs'!$I$2:$I$603)</f>
        <v>1600</v>
      </c>
    </row>
    <row r="30" spans="1:8">
      <c r="A30" s="4" t="s">
        <v>924</v>
      </c>
      <c r="B30" s="5" t="s">
        <v>179</v>
      </c>
      <c r="C30" s="4" t="s">
        <v>280</v>
      </c>
      <c r="E30" s="4">
        <v>1</v>
      </c>
      <c r="F30" s="4" t="s">
        <v>229</v>
      </c>
      <c r="H30" s="138">
        <f>SUMIF('STEP 2 - GCs'!$C$2:$C$603, 'STEP 2 - GCs'!C47, 'STEP 2 - GCs'!$I$2:$I$603)</f>
        <v>5200</v>
      </c>
    </row>
    <row r="31" spans="1:8">
      <c r="A31" s="4" t="s">
        <v>925</v>
      </c>
      <c r="B31" s="5" t="s">
        <v>179</v>
      </c>
      <c r="C31" s="4" t="s">
        <v>282</v>
      </c>
      <c r="E31" s="4">
        <v>1</v>
      </c>
      <c r="F31" s="4" t="s">
        <v>229</v>
      </c>
      <c r="H31" s="138">
        <f>SUMIF('STEP 2 - GCs'!$C$2:$C$603, 'STEP 2 - GCs'!C48, 'STEP 2 - GCs'!$I$2:$I$603)</f>
        <v>2000</v>
      </c>
    </row>
    <row r="32" spans="1:8">
      <c r="A32" s="4" t="s">
        <v>926</v>
      </c>
      <c r="B32" s="5" t="s">
        <v>179</v>
      </c>
      <c r="C32" s="4" t="s">
        <v>284</v>
      </c>
      <c r="E32" s="4">
        <v>1</v>
      </c>
      <c r="F32" s="4" t="s">
        <v>229</v>
      </c>
      <c r="H32" s="138">
        <f>SUMIF('STEP 2 - GCs'!$C$2:$C$603, 'STEP 2 - GCs'!C49, 'STEP 2 - GCs'!$I$2:$I$603)</f>
        <v>0.33333333333333337</v>
      </c>
    </row>
    <row r="33" spans="1:8">
      <c r="A33" s="4" t="s">
        <v>927</v>
      </c>
      <c r="B33" s="5" t="s">
        <v>179</v>
      </c>
      <c r="C33" s="4" t="s">
        <v>286</v>
      </c>
      <c r="E33" s="4">
        <v>1</v>
      </c>
      <c r="F33" s="4" t="s">
        <v>229</v>
      </c>
      <c r="H33" s="138">
        <f>SUMIF('STEP 2 - GCs'!$C$2:$C$603, 'STEP 2 - GCs'!C50, 'STEP 2 - GCs'!$I$2:$I$603)</f>
        <v>1500</v>
      </c>
    </row>
    <row r="34" spans="1:8">
      <c r="A34" s="4" t="s">
        <v>928</v>
      </c>
      <c r="B34" s="5" t="s">
        <v>179</v>
      </c>
      <c r="C34" s="4" t="s">
        <v>288</v>
      </c>
      <c r="E34" s="4">
        <v>1</v>
      </c>
      <c r="F34" s="4" t="s">
        <v>229</v>
      </c>
      <c r="H34" s="138">
        <f>SUMIF('STEP 2 - GCs'!$C$2:$C$603, 'STEP 2 - GCs'!C51, 'STEP 2 - GCs'!$I$2:$I$603)</f>
        <v>5000</v>
      </c>
    </row>
    <row r="35" spans="1:8">
      <c r="A35" s="4" t="s">
        <v>929</v>
      </c>
      <c r="B35" s="5" t="s">
        <v>179</v>
      </c>
      <c r="C35" s="4" t="s">
        <v>290</v>
      </c>
      <c r="E35" s="4">
        <v>1</v>
      </c>
      <c r="F35" s="4" t="s">
        <v>229</v>
      </c>
      <c r="H35" s="138">
        <f>SUMIF('STEP 2 - GCs'!$C$2:$C$603, 'STEP 2 - GCs'!C52, 'STEP 2 - GCs'!$I$2:$I$603)</f>
        <v>1800</v>
      </c>
    </row>
    <row r="36" spans="1:8">
      <c r="A36" s="4" t="s">
        <v>930</v>
      </c>
      <c r="B36" s="5" t="s">
        <v>179</v>
      </c>
      <c r="C36" s="4" t="s">
        <v>292</v>
      </c>
      <c r="E36" s="4">
        <v>1</v>
      </c>
      <c r="F36" s="4" t="s">
        <v>229</v>
      </c>
      <c r="H36" s="138">
        <f>SUMIF('STEP 2 - GCs'!$C$2:$C$603, 'STEP 2 - GCs'!C53, 'STEP 2 - GCs'!$I$2:$I$603)</f>
        <v>1300</v>
      </c>
    </row>
    <row r="37" spans="1:8">
      <c r="A37" s="4" t="s">
        <v>931</v>
      </c>
      <c r="B37" s="5" t="s">
        <v>179</v>
      </c>
      <c r="C37" s="4" t="s">
        <v>294</v>
      </c>
      <c r="E37" s="4">
        <v>1</v>
      </c>
      <c r="F37" s="4" t="s">
        <v>229</v>
      </c>
      <c r="H37" s="138">
        <f>SUMIF('STEP 2 - GCs'!$C$2:$C$603, 'STEP 2 - GCs'!C54, 'STEP 2 - GCs'!$I$2:$I$603)</f>
        <v>700</v>
      </c>
    </row>
    <row r="38" spans="1:8">
      <c r="A38" s="4" t="s">
        <v>932</v>
      </c>
      <c r="B38" s="5" t="s">
        <v>179</v>
      </c>
      <c r="C38" s="4" t="s">
        <v>296</v>
      </c>
      <c r="E38" s="4">
        <v>1</v>
      </c>
      <c r="F38" s="4" t="s">
        <v>229</v>
      </c>
      <c r="H38" s="138">
        <f>SUMIF('STEP 2 - GCs'!$C$2:$C$603, 'STEP 2 - GCs'!C55, 'STEP 2 - GCs'!$I$2:$I$603)</f>
        <v>500</v>
      </c>
    </row>
    <row r="39" spans="1:8">
      <c r="A39" s="4" t="s">
        <v>933</v>
      </c>
      <c r="B39" s="5" t="s">
        <v>179</v>
      </c>
      <c r="C39" s="4" t="s">
        <v>298</v>
      </c>
      <c r="E39" s="4">
        <v>1</v>
      </c>
      <c r="F39" s="4" t="s">
        <v>229</v>
      </c>
      <c r="H39" s="138">
        <f>SUMIF('STEP 2 - GCs'!$C$2:$C$603, 'STEP 2 - GCs'!C56, 'STEP 2 - GCs'!$I$2:$I$603)</f>
        <v>5000</v>
      </c>
    </row>
    <row r="40" spans="1:8">
      <c r="A40" s="4" t="s">
        <v>934</v>
      </c>
      <c r="B40" s="5" t="s">
        <v>179</v>
      </c>
      <c r="C40" s="4" t="s">
        <v>304</v>
      </c>
      <c r="E40" s="4">
        <v>1</v>
      </c>
      <c r="F40" s="4" t="s">
        <v>229</v>
      </c>
      <c r="H40" s="138">
        <f>SUMIF('STEP 3 - SITE OPS'!$C$2:$C$608, 'STEP 3 - SITE OPS'!C12, 'STEP 3 - SITE OPS'!$I$2:$I$608)</f>
        <v>0</v>
      </c>
    </row>
    <row r="41" spans="1:8">
      <c r="A41" s="4" t="s">
        <v>935</v>
      </c>
      <c r="B41" s="5" t="s">
        <v>936</v>
      </c>
      <c r="C41" s="4" t="s">
        <v>337</v>
      </c>
      <c r="E41" s="4">
        <v>1</v>
      </c>
      <c r="F41" s="4" t="s">
        <v>229</v>
      </c>
      <c r="H41" s="138">
        <f>SUMIF('STEP 3 - SITE OPS'!$C$2:$C$608, 'STEP 3 - SITE OPS'!C32, 'STEP 3 - SITE OPS'!$I$2:$I$608)</f>
        <v>0</v>
      </c>
    </row>
    <row r="42" spans="1:8">
      <c r="A42" s="4" t="s">
        <v>937</v>
      </c>
      <c r="B42" s="5" t="s">
        <v>936</v>
      </c>
      <c r="C42" s="4" t="s">
        <v>306</v>
      </c>
      <c r="E42" s="4">
        <v>1</v>
      </c>
      <c r="F42" s="4" t="s">
        <v>229</v>
      </c>
      <c r="H42" s="138">
        <f>SUMIF('STEP 3 - SITE OPS'!$C$2:$C$608, 'STEP 3 - SITE OPS'!C13, 'STEP 3 - SITE OPS'!$I$2:$I$608)</f>
        <v>0</v>
      </c>
    </row>
    <row r="43" spans="1:8">
      <c r="A43" s="4" t="s">
        <v>938</v>
      </c>
      <c r="B43" s="5" t="s">
        <v>936</v>
      </c>
      <c r="C43" s="4" t="s">
        <v>308</v>
      </c>
      <c r="E43" s="4">
        <v>1</v>
      </c>
      <c r="F43" s="4" t="s">
        <v>229</v>
      </c>
      <c r="H43" s="138">
        <f>SUMIF('STEP 3 - SITE OPS'!$C$2:$C$608, 'STEP 3 - SITE OPS'!C14, 'STEP 3 - SITE OPS'!$I$2:$I$608)</f>
        <v>0</v>
      </c>
    </row>
    <row r="44" spans="1:8">
      <c r="A44" s="4" t="s">
        <v>939</v>
      </c>
      <c r="B44" s="5" t="s">
        <v>936</v>
      </c>
      <c r="C44" s="4" t="s">
        <v>342</v>
      </c>
      <c r="E44" s="4">
        <v>1</v>
      </c>
      <c r="F44" s="4" t="s">
        <v>229</v>
      </c>
      <c r="H44" s="138">
        <f>SUMIF('STEP 3 - SITE OPS'!$C$2:$C$608, 'STEP 3 - SITE OPS'!C38, 'STEP 3 - SITE OPS'!$I$2:$I$608)</f>
        <v>0</v>
      </c>
    </row>
    <row r="45" spans="1:8">
      <c r="A45" s="4" t="s">
        <v>940</v>
      </c>
      <c r="B45" s="5" t="s">
        <v>179</v>
      </c>
      <c r="C45" s="4" t="s">
        <v>941</v>
      </c>
      <c r="E45" s="4">
        <v>1</v>
      </c>
      <c r="F45" s="4" t="s">
        <v>229</v>
      </c>
      <c r="H45" s="138">
        <f>SUMIF('STEP 3 - SITE OPS'!$C$2:$C$608, 'STEP 3 - SITE OPS'!C15, 'STEP 3 - SITE OPS'!$I$2:$I$608)</f>
        <v>0</v>
      </c>
    </row>
    <row r="46" spans="1:8">
      <c r="A46" s="4" t="s">
        <v>942</v>
      </c>
      <c r="B46" s="5" t="s">
        <v>179</v>
      </c>
      <c r="C46" s="4" t="s">
        <v>943</v>
      </c>
      <c r="E46" s="4">
        <v>1</v>
      </c>
      <c r="F46" s="4" t="s">
        <v>229</v>
      </c>
      <c r="H46" s="138">
        <f>SUMIF('STEP 3 - SITE OPS'!$C$2:$C$608, 'STEP 3 - SITE OPS'!C17, 'STEP 3 - SITE OPS'!$I$2:$I$608)</f>
        <v>0</v>
      </c>
    </row>
    <row r="47" spans="1:8">
      <c r="A47" s="4" t="s">
        <v>944</v>
      </c>
      <c r="B47" s="5" t="s">
        <v>179</v>
      </c>
      <c r="C47" s="4" t="s">
        <v>315</v>
      </c>
      <c r="E47" s="4">
        <v>1</v>
      </c>
      <c r="F47" s="4" t="s">
        <v>229</v>
      </c>
      <c r="H47" s="138">
        <f>SUMIF('STEP 3 - SITE OPS'!$C$2:$C$608, 'STEP 3 - SITE OPS'!C18, 'STEP 3 - SITE OPS'!$I$2:$I$608)</f>
        <v>2.5</v>
      </c>
    </row>
    <row r="48" spans="1:8">
      <c r="A48" s="4" t="s">
        <v>945</v>
      </c>
      <c r="B48" s="5" t="s">
        <v>179</v>
      </c>
      <c r="C48" s="4" t="s">
        <v>317</v>
      </c>
      <c r="E48" s="4">
        <v>1</v>
      </c>
      <c r="F48" s="4" t="s">
        <v>229</v>
      </c>
      <c r="H48" s="138">
        <f>SUMIF('STEP 3 - SITE OPS'!$C$2:$C$608, 'STEP 3 - SITE OPS'!C19, 'STEP 3 - SITE OPS'!$I$2:$I$608)</f>
        <v>0</v>
      </c>
    </row>
    <row r="49" spans="1:8">
      <c r="A49" s="4" t="s">
        <v>946</v>
      </c>
      <c r="B49" s="5" t="s">
        <v>179</v>
      </c>
      <c r="C49" s="4" t="s">
        <v>319</v>
      </c>
      <c r="E49" s="4">
        <v>1</v>
      </c>
      <c r="F49" s="4" t="s">
        <v>229</v>
      </c>
      <c r="H49" s="138">
        <f>SUMIF('STEP 3 - SITE OPS'!$C$2:$C$608, 'STEP 3 - SITE OPS'!C20, 'STEP 3 - SITE OPS'!$I$2:$I$608)</f>
        <v>0</v>
      </c>
    </row>
    <row r="50" spans="1:8">
      <c r="A50" s="4" t="s">
        <v>947</v>
      </c>
      <c r="B50" s="5" t="s">
        <v>179</v>
      </c>
      <c r="C50" s="4" t="s">
        <v>321</v>
      </c>
      <c r="E50" s="4">
        <v>1</v>
      </c>
      <c r="F50" s="4" t="s">
        <v>229</v>
      </c>
      <c r="H50" s="138">
        <f>SUMIF('STEP 3 - SITE OPS'!$C$2:$C$608, 'STEP 3 - SITE OPS'!C21, 'STEP 3 - SITE OPS'!$I$2:$I$608)</f>
        <v>0</v>
      </c>
    </row>
    <row r="51" spans="1:8">
      <c r="A51" s="4" t="s">
        <v>948</v>
      </c>
      <c r="B51" s="5" t="s">
        <v>179</v>
      </c>
      <c r="C51" s="4" t="s">
        <v>323</v>
      </c>
      <c r="E51" s="4">
        <v>1</v>
      </c>
      <c r="F51" s="4" t="s">
        <v>229</v>
      </c>
      <c r="H51" s="138">
        <f>SUMIF('STEP 3 - SITE OPS'!$C$2:$C$608, 'STEP 3 - SITE OPS'!C22, 'STEP 3 - SITE OPS'!$I$2:$I$608)</f>
        <v>0</v>
      </c>
    </row>
    <row r="52" spans="1:8">
      <c r="A52" s="4" t="s">
        <v>949</v>
      </c>
      <c r="B52" s="5" t="s">
        <v>936</v>
      </c>
      <c r="C52" s="4" t="s">
        <v>325</v>
      </c>
      <c r="E52" s="4">
        <v>1</v>
      </c>
      <c r="F52" s="4" t="s">
        <v>229</v>
      </c>
      <c r="H52" s="138">
        <f>SUMIF('STEP 3 - SITE OPS'!$C$2:$C$608, 'STEP 3 - SITE OPS'!C23, 'STEP 3 - SITE OPS'!$I$2:$I$608)</f>
        <v>0</v>
      </c>
    </row>
    <row r="53" spans="1:8">
      <c r="A53" s="4" t="s">
        <v>950</v>
      </c>
      <c r="B53" s="5" t="s">
        <v>179</v>
      </c>
      <c r="C53" s="4" t="s">
        <v>327</v>
      </c>
      <c r="E53" s="4">
        <v>1</v>
      </c>
      <c r="F53" s="4" t="s">
        <v>229</v>
      </c>
      <c r="H53" s="138">
        <f>SUMIF('STEP 3 - SITE OPS'!$C$2:$C$608, 'STEP 3 - SITE OPS'!C24, 'STEP 3 - SITE OPS'!$I$2:$I$608)</f>
        <v>0</v>
      </c>
    </row>
    <row r="54" spans="1:8">
      <c r="A54" s="4" t="s">
        <v>951</v>
      </c>
      <c r="B54" s="5" t="s">
        <v>179</v>
      </c>
      <c r="C54" s="4" t="s">
        <v>329</v>
      </c>
      <c r="E54" s="4">
        <v>1</v>
      </c>
      <c r="F54" s="4" t="s">
        <v>229</v>
      </c>
      <c r="H54" s="138">
        <f>SUMIF('STEP 3 - SITE OPS'!$C$2:$C$608, 'STEP 3 - SITE OPS'!C25, 'STEP 3 - SITE OPS'!$I$2:$I$608)</f>
        <v>0</v>
      </c>
    </row>
    <row r="55" spans="1:8">
      <c r="A55" s="4" t="s">
        <v>952</v>
      </c>
      <c r="B55" s="5" t="s">
        <v>179</v>
      </c>
      <c r="C55" s="4" t="s">
        <v>331</v>
      </c>
      <c r="E55" s="4">
        <v>1</v>
      </c>
      <c r="F55" s="4" t="s">
        <v>229</v>
      </c>
      <c r="H55" s="138">
        <f>SUMIF('STEP 3 - SITE OPS'!$C$2:$C$608, 'STEP 3 - SITE OPS'!C26, 'STEP 3 - SITE OPS'!$I$2:$I$608)</f>
        <v>0</v>
      </c>
    </row>
    <row r="56" spans="1:8">
      <c r="A56" s="4" t="s">
        <v>953</v>
      </c>
      <c r="B56" s="5" t="s">
        <v>179</v>
      </c>
      <c r="C56" s="4" t="s">
        <v>954</v>
      </c>
      <c r="E56" s="4">
        <v>1</v>
      </c>
      <c r="F56" s="4" t="s">
        <v>229</v>
      </c>
      <c r="H56" s="138">
        <f>SUMIF('STEP 3 - SITE OPS'!$C$2:$C$608, 'STEP 3 - SITE OPS'!C27, 'STEP 3 - SITE OPS'!$I$2:$I$608)</f>
        <v>0</v>
      </c>
    </row>
    <row r="57" spans="1:8">
      <c r="A57" s="4" t="s">
        <v>955</v>
      </c>
      <c r="B57" s="5" t="s">
        <v>179</v>
      </c>
      <c r="C57" s="4" t="s">
        <v>346</v>
      </c>
      <c r="E57" s="4">
        <v>1</v>
      </c>
      <c r="F57" s="4" t="s">
        <v>229</v>
      </c>
      <c r="H57" s="138">
        <f>SUMIF('STEP 3 - SITE OPS'!$C$2:$C$608, 'STEP 3 - SITE OPS'!C43, 'STEP 3 - SITE OPS'!$I$2:$I$608)</f>
        <v>0</v>
      </c>
    </row>
    <row r="58" spans="1:8">
      <c r="A58" s="4" t="s">
        <v>956</v>
      </c>
      <c r="B58" s="5" t="s">
        <v>936</v>
      </c>
      <c r="C58" s="4" t="s">
        <v>350</v>
      </c>
      <c r="E58" s="4">
        <v>1</v>
      </c>
      <c r="F58" s="4" t="s">
        <v>229</v>
      </c>
      <c r="H58" s="138">
        <f>SUMIF('STEP 3 - SITE OPS'!$C$2:$C$608, 'STEP 3 - SITE OPS'!C48, 'STEP 3 - SITE OPS'!$I$2:$I$608)</f>
        <v>0</v>
      </c>
    </row>
    <row r="59" spans="1:8">
      <c r="A59" s="4" t="s">
        <v>957</v>
      </c>
      <c r="B59" s="5" t="s">
        <v>179</v>
      </c>
      <c r="C59" s="4" t="s">
        <v>355</v>
      </c>
      <c r="E59" s="4">
        <v>1</v>
      </c>
      <c r="F59" s="4" t="s">
        <v>229</v>
      </c>
      <c r="H59" s="138">
        <f>SUMIF('STEP 3 - SITE OPS'!$C$2:$C$608, 'STEP 3 - SITE OPS'!C54, 'STEP 3 - SITE OPS'!$I$2:$I$608)</f>
        <v>0</v>
      </c>
    </row>
    <row r="60" spans="1:8">
      <c r="A60" s="4" t="s">
        <v>958</v>
      </c>
      <c r="B60" s="5" t="s">
        <v>179</v>
      </c>
      <c r="C60" s="4" t="s">
        <v>357</v>
      </c>
      <c r="E60" s="4">
        <v>1</v>
      </c>
      <c r="F60" s="4" t="s">
        <v>229</v>
      </c>
      <c r="H60" s="138">
        <f>SUMIF('STEP 3 - SITE OPS'!$C$2:$C$608, 'STEP 3 - SITE OPS'!C55, 'STEP 3 - SITE OPS'!$I$2:$I$608)</f>
        <v>0</v>
      </c>
    </row>
    <row r="61" spans="1:8">
      <c r="A61" s="4" t="s">
        <v>959</v>
      </c>
      <c r="B61" s="5" t="s">
        <v>179</v>
      </c>
      <c r="C61" s="4" t="s">
        <v>359</v>
      </c>
      <c r="E61" s="4">
        <v>1</v>
      </c>
      <c r="F61" s="4" t="s">
        <v>229</v>
      </c>
      <c r="H61" s="138">
        <f>SUMIF('STEP 3 - SITE OPS'!$C$2:$C$608, 'STEP 3 - SITE OPS'!C56, 'STEP 3 - SITE OPS'!$I$2:$I$608)</f>
        <v>0</v>
      </c>
    </row>
    <row r="62" spans="1:8">
      <c r="A62" s="4" t="s">
        <v>960</v>
      </c>
      <c r="B62" s="5" t="s">
        <v>179</v>
      </c>
      <c r="C62" s="4" t="s">
        <v>361</v>
      </c>
      <c r="E62" s="4">
        <v>1</v>
      </c>
      <c r="F62" s="4" t="s">
        <v>229</v>
      </c>
      <c r="H62" s="138">
        <f>SUMIF('STEP 3 - SITE OPS'!$C$2:$C$608, 'STEP 3 - SITE OPS'!C57, 'STEP 3 - SITE OPS'!$I$2:$I$608)</f>
        <v>0</v>
      </c>
    </row>
    <row r="63" spans="1:8">
      <c r="A63" s="4" t="s">
        <v>961</v>
      </c>
      <c r="B63" s="5" t="s">
        <v>179</v>
      </c>
      <c r="C63" s="4" t="s">
        <v>363</v>
      </c>
      <c r="E63" s="4">
        <v>1</v>
      </c>
      <c r="F63" s="4" t="s">
        <v>229</v>
      </c>
      <c r="H63" s="138">
        <f>SUMIF('STEP 3 - SITE OPS'!$C$2:$C$608, 'STEP 3 - SITE OPS'!C58, 'STEP 3 - SITE OPS'!$I$2:$I$608)</f>
        <v>0</v>
      </c>
    </row>
    <row r="64" spans="1:8">
      <c r="A64" s="4" t="s">
        <v>962</v>
      </c>
      <c r="B64" s="5" t="s">
        <v>179</v>
      </c>
      <c r="C64" s="4" t="s">
        <v>365</v>
      </c>
      <c r="E64" s="4">
        <v>1</v>
      </c>
      <c r="F64" s="4" t="s">
        <v>229</v>
      </c>
      <c r="H64" s="138">
        <f>SUMIF('STEP 3 - SITE OPS'!$C$2:$C$608, 'STEP 3 - SITE OPS'!C59, 'STEP 3 - SITE OPS'!$I$2:$I$608)</f>
        <v>0</v>
      </c>
    </row>
    <row r="65" spans="1:8">
      <c r="A65" s="4" t="s">
        <v>963</v>
      </c>
      <c r="B65" s="5" t="s">
        <v>179</v>
      </c>
      <c r="C65" s="4" t="s">
        <v>367</v>
      </c>
      <c r="E65" s="4">
        <v>1</v>
      </c>
      <c r="F65" s="4" t="s">
        <v>229</v>
      </c>
      <c r="H65" s="138">
        <f>SUMIF('STEP 3 - SITE OPS'!$C$2:$C$608, 'STEP 3 - SITE OPS'!C60, 'STEP 3 - SITE OPS'!$I$2:$I$608)</f>
        <v>0</v>
      </c>
    </row>
    <row r="66" spans="1:8">
      <c r="A66" s="4" t="s">
        <v>964</v>
      </c>
      <c r="B66" s="5" t="s">
        <v>179</v>
      </c>
      <c r="C66" s="4" t="s">
        <v>371</v>
      </c>
      <c r="E66" s="4">
        <v>1</v>
      </c>
      <c r="F66" s="4" t="s">
        <v>229</v>
      </c>
      <c r="H66" s="138">
        <f>SUMIF('STEP 3 - SITE OPS'!$C$2:$C$608, 'STEP 3 - SITE OPS'!C65, 'STEP 3 - SITE OPS'!$I$2:$I$608)</f>
        <v>0</v>
      </c>
    </row>
    <row r="67" spans="1:8">
      <c r="A67" s="4" t="s">
        <v>965</v>
      </c>
      <c r="B67" s="5" t="s">
        <v>179</v>
      </c>
      <c r="C67" s="4" t="s">
        <v>373</v>
      </c>
      <c r="E67" s="4">
        <v>1</v>
      </c>
      <c r="F67" s="4" t="s">
        <v>229</v>
      </c>
      <c r="H67" s="138">
        <f>SUMIF('STEP 3 - SITE OPS'!$C$2:$C$608, 'STEP 3 - SITE OPS'!C66, 'STEP 3 - SITE OPS'!$I$2:$I$608)</f>
        <v>0</v>
      </c>
    </row>
    <row r="68" spans="1:8">
      <c r="A68" s="4" t="s">
        <v>966</v>
      </c>
      <c r="B68" s="5" t="s">
        <v>179</v>
      </c>
      <c r="C68" s="4" t="s">
        <v>375</v>
      </c>
      <c r="E68" s="4">
        <v>1</v>
      </c>
      <c r="F68" s="4" t="s">
        <v>229</v>
      </c>
      <c r="H68" s="138">
        <f>SUMIF('STEP 3 - SITE OPS'!$C$2:$C$608, 'STEP 3 - SITE OPS'!C67, 'STEP 3 - SITE OPS'!$I$2:$I$608)</f>
        <v>0</v>
      </c>
    </row>
    <row r="69" spans="1:8">
      <c r="A69" s="4" t="s">
        <v>967</v>
      </c>
      <c r="B69" s="5" t="s">
        <v>179</v>
      </c>
      <c r="C69" s="4" t="s">
        <v>377</v>
      </c>
      <c r="E69" s="4">
        <v>1</v>
      </c>
      <c r="F69" s="4" t="s">
        <v>229</v>
      </c>
      <c r="H69" s="138">
        <f>SUMIF('STEP 3 - SITE OPS'!$C$2:$C$608, 'STEP 3 - SITE OPS'!C68, 'STEP 3 - SITE OPS'!$I$2:$I$608)</f>
        <v>0</v>
      </c>
    </row>
    <row r="70" spans="1:8">
      <c r="A70" s="4" t="s">
        <v>968</v>
      </c>
      <c r="B70" s="5" t="s">
        <v>179</v>
      </c>
      <c r="C70" s="4" t="s">
        <v>379</v>
      </c>
      <c r="E70" s="4">
        <v>1</v>
      </c>
      <c r="F70" s="4" t="s">
        <v>229</v>
      </c>
      <c r="H70" s="138">
        <f>SUMIF('STEP 3 - SITE OPS'!$C$2:$C$608, 'STEP 3 - SITE OPS'!C69, 'STEP 3 - SITE OPS'!$I$2:$I$608)</f>
        <v>0</v>
      </c>
    </row>
    <row r="71" spans="1:8">
      <c r="A71" s="4" t="s">
        <v>969</v>
      </c>
      <c r="B71" s="5" t="s">
        <v>179</v>
      </c>
      <c r="C71" s="4" t="s">
        <v>381</v>
      </c>
      <c r="E71" s="4">
        <v>1</v>
      </c>
      <c r="F71" s="4" t="s">
        <v>229</v>
      </c>
      <c r="H71" s="138">
        <f>SUMIF('STEP 3 - SITE OPS'!$C$2:$C$608, 'STEP 3 - SITE OPS'!C70, 'STEP 3 - SITE OPS'!$I$2:$I$608)</f>
        <v>0</v>
      </c>
    </row>
    <row r="72" spans="1:8">
      <c r="A72" s="4" t="s">
        <v>970</v>
      </c>
      <c r="B72" s="5" t="s">
        <v>179</v>
      </c>
      <c r="C72" s="4" t="s">
        <v>971</v>
      </c>
      <c r="E72" s="4">
        <v>1</v>
      </c>
      <c r="F72" s="4" t="s">
        <v>229</v>
      </c>
      <c r="H72" s="138">
        <f>SUMIF('STEP 3 - SITE OPS'!$C$2:$C$608, 'STEP 3 - SITE OPS'!C75, 'STEP 3 - SITE OPS'!$I$2:$I$608)</f>
        <v>0</v>
      </c>
    </row>
    <row r="73" spans="1:8">
      <c r="A73" s="4" t="s">
        <v>972</v>
      </c>
      <c r="B73" s="5" t="s">
        <v>179</v>
      </c>
      <c r="C73" s="4" t="s">
        <v>387</v>
      </c>
      <c r="E73" s="4">
        <v>1</v>
      </c>
      <c r="F73" s="4" t="s">
        <v>229</v>
      </c>
      <c r="H73" s="138">
        <f>SUMIF('STEP 3 - SITE OPS'!$C$2:$C$608, 'STEP 3 - SITE OPS'!C76, 'STEP 3 - SITE OPS'!$I$2:$I$608)</f>
        <v>0</v>
      </c>
    </row>
    <row r="74" spans="1:8">
      <c r="A74" s="4" t="s">
        <v>973</v>
      </c>
      <c r="B74" s="5" t="s">
        <v>179</v>
      </c>
      <c r="C74" s="4" t="s">
        <v>389</v>
      </c>
      <c r="E74" s="4">
        <v>1</v>
      </c>
      <c r="F74" s="4" t="s">
        <v>229</v>
      </c>
      <c r="H74" s="138">
        <f>SUMIF('STEP 3 - SITE OPS'!$C$2:$C$608, 'STEP 3 - SITE OPS'!C77, 'STEP 3 - SITE OPS'!$I$2:$I$608)</f>
        <v>0</v>
      </c>
    </row>
    <row r="75" spans="1:8">
      <c r="A75" s="4" t="s">
        <v>974</v>
      </c>
      <c r="B75" s="5" t="s">
        <v>179</v>
      </c>
      <c r="C75" s="4" t="s">
        <v>391</v>
      </c>
      <c r="E75" s="4">
        <v>1</v>
      </c>
      <c r="F75" s="4" t="s">
        <v>229</v>
      </c>
      <c r="H75" s="138">
        <f>SUMIF('STEP 3 - SITE OPS'!$C$2:$C$608, 'STEP 3 - SITE OPS'!C78, 'STEP 3 - SITE OPS'!$I$2:$I$608)</f>
        <v>0</v>
      </c>
    </row>
    <row r="76" spans="1:8">
      <c r="A76" s="4" t="s">
        <v>975</v>
      </c>
      <c r="B76" s="5" t="s">
        <v>179</v>
      </c>
      <c r="C76" s="4" t="s">
        <v>393</v>
      </c>
      <c r="E76" s="4">
        <v>1</v>
      </c>
      <c r="F76" s="4" t="s">
        <v>229</v>
      </c>
      <c r="H76" s="138">
        <f>SUMIF('STEP 3 - SITE OPS'!$C$2:$C$608, 'STEP 3 - SITE OPS'!C79, 'STEP 3 - SITE OPS'!$I$2:$I$608)</f>
        <v>0</v>
      </c>
    </row>
    <row r="77" spans="1:8">
      <c r="A77" s="4" t="s">
        <v>976</v>
      </c>
      <c r="B77" s="5" t="s">
        <v>179</v>
      </c>
      <c r="C77" s="4" t="s">
        <v>395</v>
      </c>
      <c r="E77" s="4">
        <v>1</v>
      </c>
      <c r="F77" s="4" t="s">
        <v>229</v>
      </c>
      <c r="H77" s="138">
        <f>SUMIF('STEP 3 - SITE OPS'!$C$2:$C$608, 'STEP 3 - SITE OPS'!C80, 'STEP 3 - SITE OPS'!$I$2:$I$608)</f>
        <v>0</v>
      </c>
    </row>
    <row r="78" spans="1:8">
      <c r="A78" s="4" t="s">
        <v>977</v>
      </c>
      <c r="B78" s="5" t="s">
        <v>936</v>
      </c>
      <c r="C78" s="4" t="s">
        <v>978</v>
      </c>
      <c r="E78" s="4">
        <v>1</v>
      </c>
      <c r="F78" s="4" t="s">
        <v>229</v>
      </c>
      <c r="H78" s="138">
        <f>SUMIF('STEP 4 - ESTIMATE'!$C$2:$C$630, 'STEP 4 - ESTIMATE'!C29, 'STEP 4 - ESTIMATE'!$I$2:$I$630)</f>
        <v>0</v>
      </c>
    </row>
    <row r="79" spans="1:8">
      <c r="A79" s="4" t="s">
        <v>979</v>
      </c>
      <c r="B79" s="5" t="s">
        <v>936</v>
      </c>
      <c r="C79" s="4" t="s">
        <v>425</v>
      </c>
      <c r="E79" s="4">
        <v>1</v>
      </c>
      <c r="F79" s="4" t="s">
        <v>229</v>
      </c>
      <c r="H79" s="138">
        <f>SUMIF('STEP 4 - ESTIMATE'!C3:C630, 'STEP 4 - ESTIMATE'!C43, 'STEP 4 - ESTIMATE'!I3:I631)</f>
        <v>0</v>
      </c>
    </row>
    <row r="80" spans="1:8">
      <c r="A80" s="4" t="s">
        <v>980</v>
      </c>
      <c r="B80" s="5" t="s">
        <v>936</v>
      </c>
      <c r="C80" s="4" t="s">
        <v>153</v>
      </c>
      <c r="E80" s="4">
        <v>1</v>
      </c>
      <c r="F80" s="4" t="s">
        <v>229</v>
      </c>
      <c r="H80" s="138">
        <f>SUMIF('STEP 4 - ESTIMATE'!C4:C630, 'STEP 4 - ESTIMATE'!C46, 'STEP 4 - ESTIMATE'!I4:I632)</f>
        <v>0</v>
      </c>
    </row>
    <row r="81" spans="1:8">
      <c r="A81" s="4" t="s">
        <v>981</v>
      </c>
      <c r="B81" s="5" t="s">
        <v>936</v>
      </c>
      <c r="C81" s="4" t="s">
        <v>427</v>
      </c>
      <c r="E81" s="4">
        <v>1</v>
      </c>
      <c r="F81" s="4" t="s">
        <v>229</v>
      </c>
      <c r="H81" s="138">
        <f>SUMIF('STEP 4 - ESTIMATE'!C5:C630, 'STEP 4 - ESTIMATE'!C47, 'STEP 4 - ESTIMATE'!I5:I633)</f>
        <v>0</v>
      </c>
    </row>
    <row r="82" spans="1:8">
      <c r="A82" s="4" t="s">
        <v>982</v>
      </c>
      <c r="B82" s="5" t="s">
        <v>936</v>
      </c>
      <c r="C82" s="4" t="s">
        <v>983</v>
      </c>
      <c r="E82" s="4">
        <v>1</v>
      </c>
      <c r="F82" s="4" t="s">
        <v>229</v>
      </c>
      <c r="H82" s="138">
        <f>SUMIF('STEP 4 - ESTIMATE'!C6:C630, 'STEP 4 - ESTIMATE'!C50, 'STEP 4 - ESTIMATE'!I6:I634)</f>
        <v>0</v>
      </c>
    </row>
    <row r="83" spans="1:8">
      <c r="A83" s="4" t="s">
        <v>984</v>
      </c>
      <c r="B83" s="5" t="s">
        <v>936</v>
      </c>
      <c r="C83" s="4" t="s">
        <v>432</v>
      </c>
      <c r="E83" s="4">
        <v>1</v>
      </c>
      <c r="F83" s="4" t="s">
        <v>229</v>
      </c>
      <c r="H83" s="138">
        <f>SUMIF('STEP 4 - ESTIMATE'!C7:C630, 'STEP 4 - ESTIMATE'!C55, 'STEP 4 - ESTIMATE'!I7:I635)</f>
        <v>0</v>
      </c>
    </row>
    <row r="84" spans="1:8">
      <c r="A84" s="4" t="s">
        <v>985</v>
      </c>
      <c r="B84" s="5" t="s">
        <v>936</v>
      </c>
      <c r="C84" s="4" t="s">
        <v>986</v>
      </c>
      <c r="E84" s="4">
        <v>1</v>
      </c>
      <c r="F84" s="4" t="s">
        <v>229</v>
      </c>
      <c r="H84" s="138">
        <f>SUMIF('STEP 4 - ESTIMATE'!C8:C630, 'STEP 4 - ESTIMATE'!C65, 'STEP 4 - ESTIMATE'!I8:I636)</f>
        <v>0</v>
      </c>
    </row>
    <row r="85" spans="1:8">
      <c r="A85" s="4" t="s">
        <v>987</v>
      </c>
      <c r="B85" s="5" t="s">
        <v>179</v>
      </c>
      <c r="C85" s="4" t="s">
        <v>442</v>
      </c>
      <c r="E85" s="4">
        <v>1</v>
      </c>
      <c r="F85" s="4" t="s">
        <v>229</v>
      </c>
      <c r="H85" s="138">
        <f>SUMIF('STEP 4 - ESTIMATE'!C9:C630, 'STEP 4 - ESTIMATE'!C66, 'STEP 4 - ESTIMATE'!I9:I637)</f>
        <v>0</v>
      </c>
    </row>
    <row r="86" spans="1:8">
      <c r="A86" s="4" t="s">
        <v>988</v>
      </c>
      <c r="B86" s="5" t="s">
        <v>936</v>
      </c>
      <c r="C86" s="4" t="s">
        <v>989</v>
      </c>
      <c r="E86" s="4">
        <v>1</v>
      </c>
      <c r="F86" s="4" t="s">
        <v>229</v>
      </c>
      <c r="H86" s="138">
        <f>SUMIF('STEP 4 - ESTIMATE'!C10:C630, 'STEP 4 - ESTIMATE'!C67, 'STEP 4 - ESTIMATE'!I10:I638)</f>
        <v>0</v>
      </c>
    </row>
    <row r="87" spans="1:8">
      <c r="A87" s="4" t="s">
        <v>990</v>
      </c>
      <c r="B87" s="5" t="s">
        <v>179</v>
      </c>
      <c r="C87" s="4" t="s">
        <v>991</v>
      </c>
      <c r="E87" s="4">
        <v>1</v>
      </c>
      <c r="F87" s="4" t="s">
        <v>229</v>
      </c>
      <c r="H87" s="138">
        <f>SUMIF('STEP 4 - ESTIMATE'!$C$2:$C$630, 'STEP 4 - ESTIMATE'!C76, 'STEP 4 - ESTIMATE'!$I$2:$I$630)</f>
        <v>0</v>
      </c>
    </row>
    <row r="88" spans="1:8">
      <c r="A88" s="4" t="s">
        <v>992</v>
      </c>
      <c r="B88" s="5" t="s">
        <v>936</v>
      </c>
      <c r="C88" s="4" t="s">
        <v>451</v>
      </c>
      <c r="E88" s="4">
        <v>1</v>
      </c>
      <c r="F88" s="4" t="s">
        <v>229</v>
      </c>
      <c r="H88" s="138">
        <f>SUMIF('STEP 4 - ESTIMATE'!$C$2:$C$630, 'STEP 4 - ESTIMATE'!C77, 'STEP 4 - ESTIMATE'!$I$2:$I$630)</f>
        <v>0</v>
      </c>
    </row>
    <row r="89" spans="1:8">
      <c r="A89" s="4" t="s">
        <v>993</v>
      </c>
      <c r="B89" s="5" t="s">
        <v>179</v>
      </c>
      <c r="C89" s="4" t="s">
        <v>452</v>
      </c>
      <c r="E89" s="4">
        <v>1</v>
      </c>
      <c r="F89" s="4" t="s">
        <v>229</v>
      </c>
      <c r="H89" s="138">
        <f>SUMIF('STEP 4 - ESTIMATE'!$C$2:$C$630, 'STEP 4 - ESTIMATE'!C78, 'STEP 4 - ESTIMATE'!$I$2:$I$630)</f>
        <v>0</v>
      </c>
    </row>
    <row r="90" spans="1:8">
      <c r="A90" s="4" t="s">
        <v>994</v>
      </c>
      <c r="B90" s="5" t="s">
        <v>179</v>
      </c>
      <c r="C90" s="4" t="s">
        <v>995</v>
      </c>
      <c r="E90" s="4">
        <v>1</v>
      </c>
      <c r="F90" s="4" t="s">
        <v>229</v>
      </c>
      <c r="H90" s="138">
        <f>SUMIF('STEP 4 - ESTIMATE'!$C$2:$C$630, 'STEP 4 - ESTIMATE'!C79, 'STEP 4 - ESTIMATE'!$I$2:$I$630)</f>
        <v>0</v>
      </c>
    </row>
    <row r="91" spans="1:8">
      <c r="A91" s="4" t="s">
        <v>996</v>
      </c>
      <c r="B91" s="5" t="s">
        <v>179</v>
      </c>
      <c r="C91" s="4" t="s">
        <v>454</v>
      </c>
      <c r="E91" s="4">
        <v>1</v>
      </c>
      <c r="F91" s="4" t="s">
        <v>229</v>
      </c>
      <c r="H91" s="138">
        <f>SUMIF('STEP 4 - ESTIMATE'!$C$2:$C$630, 'STEP 4 - ESTIMATE'!C80, 'STEP 4 - ESTIMATE'!$I$2:$I$630)</f>
        <v>0</v>
      </c>
    </row>
    <row r="92" spans="1:8">
      <c r="A92" s="4" t="s">
        <v>997</v>
      </c>
      <c r="B92" s="5" t="s">
        <v>936</v>
      </c>
      <c r="C92" s="4" t="s">
        <v>455</v>
      </c>
      <c r="E92" s="4">
        <v>1</v>
      </c>
      <c r="F92" s="4" t="s">
        <v>229</v>
      </c>
      <c r="H92" s="138">
        <f>SUMIF('STEP 4 - ESTIMATE'!$C$2:$C$630, 'STEP 4 - ESTIMATE'!C82, 'STEP 4 - ESTIMATE'!$I$2:$I$630)</f>
        <v>0</v>
      </c>
    </row>
    <row r="93" spans="1:8">
      <c r="A93" s="4" t="s">
        <v>998</v>
      </c>
      <c r="B93" s="5" t="s">
        <v>179</v>
      </c>
      <c r="C93" s="4" t="s">
        <v>457</v>
      </c>
      <c r="E93" s="4">
        <v>1</v>
      </c>
      <c r="F93" s="4" t="s">
        <v>229</v>
      </c>
      <c r="H93" s="138">
        <f>SUMIF('STEP 4 - ESTIMATE'!$C$2:$C$630, 'STEP 4 - ESTIMATE'!C83, 'STEP 4 - ESTIMATE'!$I$2:$I$630)</f>
        <v>0</v>
      </c>
    </row>
    <row r="94" spans="1:8">
      <c r="A94" s="4" t="s">
        <v>999</v>
      </c>
      <c r="B94" s="5" t="s">
        <v>936</v>
      </c>
      <c r="C94" s="4" t="s">
        <v>1000</v>
      </c>
      <c r="E94" s="4">
        <v>1</v>
      </c>
      <c r="F94" s="4" t="s">
        <v>229</v>
      </c>
      <c r="H94" s="138">
        <f>SUMIF('STEP 4 - ESTIMATE'!$C$2:$C$630, 'STEP 4 - ESTIMATE'!C84, 'STEP 4 - ESTIMATE'!$I$2:$I$630)</f>
        <v>0</v>
      </c>
    </row>
    <row r="95" spans="1:8">
      <c r="A95" s="4" t="s">
        <v>1001</v>
      </c>
      <c r="B95" s="5" t="s">
        <v>936</v>
      </c>
      <c r="C95" s="4" t="s">
        <v>1002</v>
      </c>
      <c r="E95" s="4">
        <v>1</v>
      </c>
      <c r="F95" s="4" t="s">
        <v>229</v>
      </c>
      <c r="H95" s="138">
        <f>SUMIF('STEP 4 - ESTIMATE'!$C$2:$C$630, 'STEP 4 - ESTIMATE'!C85, 'STEP 4 - ESTIMATE'!$I$2:$I$630)</f>
        <v>0</v>
      </c>
    </row>
    <row r="96" spans="1:8">
      <c r="A96" s="4" t="s">
        <v>1003</v>
      </c>
      <c r="B96" s="5" t="s">
        <v>936</v>
      </c>
      <c r="C96" s="4" t="s">
        <v>1004</v>
      </c>
      <c r="E96" s="4">
        <v>1</v>
      </c>
      <c r="F96" s="4" t="s">
        <v>229</v>
      </c>
      <c r="H96" s="138">
        <f>SUMIF('STEP 4 - ESTIMATE'!$C$2:$C$630, 'STEP 4 - ESTIMATE'!C86, 'STEP 4 - ESTIMATE'!$I$2:$I$630)</f>
        <v>0</v>
      </c>
    </row>
    <row r="97" spans="1:8">
      <c r="A97" s="4" t="s">
        <v>1005</v>
      </c>
      <c r="B97" s="5" t="s">
        <v>179</v>
      </c>
      <c r="C97" s="4" t="s">
        <v>463</v>
      </c>
      <c r="E97" s="4">
        <v>1</v>
      </c>
      <c r="F97" s="4" t="s">
        <v>229</v>
      </c>
      <c r="H97" s="138">
        <f>SUMIF('STEP 4 - ESTIMATE'!$C$2:$C$630, 'STEP 4 - ESTIMATE'!C90, 'STEP 4 - ESTIMATE'!$I$2:$I$630)</f>
        <v>0</v>
      </c>
    </row>
    <row r="98" spans="1:8">
      <c r="A98" s="4" t="s">
        <v>1006</v>
      </c>
      <c r="B98" s="5" t="s">
        <v>179</v>
      </c>
      <c r="C98" s="4" t="s">
        <v>461</v>
      </c>
      <c r="E98" s="4">
        <v>1</v>
      </c>
      <c r="F98" s="4" t="s">
        <v>229</v>
      </c>
      <c r="H98" s="138">
        <f>SUMIF('STEP 4 - ESTIMATE'!C26:C650, 'STEP 4 - ESTIMATE'!C87, 'STEP 4 - ESTIMATE'!I26:I650)</f>
        <v>0</v>
      </c>
    </row>
    <row r="99" spans="1:8">
      <c r="A99" s="4" t="s">
        <v>1007</v>
      </c>
      <c r="B99" s="5" t="s">
        <v>936</v>
      </c>
      <c r="C99" s="4" t="s">
        <v>464</v>
      </c>
      <c r="E99" s="4">
        <v>1</v>
      </c>
      <c r="F99" s="4" t="s">
        <v>229</v>
      </c>
      <c r="H99" s="138">
        <f>SUMIF('STEP 4 - ESTIMATE'!C28:C651, 'STEP 4 - ESTIMATE'!C91, 'STEP 4 - ESTIMATE'!I28:I651)</f>
        <v>0</v>
      </c>
    </row>
    <row r="100" spans="1:8">
      <c r="A100" s="4" t="s">
        <v>1008</v>
      </c>
      <c r="B100" s="5" t="s">
        <v>936</v>
      </c>
      <c r="C100" s="4" t="s">
        <v>170</v>
      </c>
      <c r="E100" s="4">
        <v>1</v>
      </c>
      <c r="F100" s="4" t="s">
        <v>229</v>
      </c>
      <c r="H100" s="138">
        <f>SUMIF('STEP 4 - ESTIMATE'!$C$2:$C$630, 'STEP 4 - ESTIMATE'!C96, 'STEP 4 - ESTIMATE'!$I$2:$I$630)</f>
        <v>0</v>
      </c>
    </row>
    <row r="101" spans="1:8">
      <c r="A101" s="4" t="s">
        <v>1009</v>
      </c>
      <c r="B101" s="5" t="s">
        <v>936</v>
      </c>
      <c r="C101" s="4" t="s">
        <v>1010</v>
      </c>
      <c r="E101" s="4">
        <v>1</v>
      </c>
      <c r="F101" s="4" t="s">
        <v>229</v>
      </c>
      <c r="H101" s="138">
        <f>SUMIF('STEP 4 - ESTIMATE'!$C$2:$C$630, 'STEP 4 - ESTIMATE'!C98, 'STEP 4 - ESTIMATE'!$I$2:$I$630)</f>
        <v>0</v>
      </c>
    </row>
    <row r="102" spans="1:8">
      <c r="A102" s="4" t="s">
        <v>1011</v>
      </c>
      <c r="B102" s="5" t="s">
        <v>936</v>
      </c>
      <c r="C102" s="4" t="s">
        <v>472</v>
      </c>
      <c r="E102" s="4">
        <v>1</v>
      </c>
      <c r="F102" s="4" t="s">
        <v>229</v>
      </c>
      <c r="H102" s="138">
        <f>SUMIF('STEP 4 - ESTIMATE'!$C$2:$C$630, 'STEP 4 - ESTIMATE'!C103, 'STEP 4 - ESTIMATE'!$I$2:$I$630)</f>
        <v>0</v>
      </c>
    </row>
    <row r="103" spans="1:8">
      <c r="A103" s="4" t="s">
        <v>1012</v>
      </c>
      <c r="B103" s="5" t="s">
        <v>936</v>
      </c>
      <c r="C103" s="4" t="s">
        <v>474</v>
      </c>
      <c r="E103" s="4">
        <v>1</v>
      </c>
      <c r="F103" s="4" t="s">
        <v>229</v>
      </c>
      <c r="H103" s="138">
        <f>SUMIF('STEP 4 - ESTIMATE'!$C$2:$C$630, 'STEP 4 - ESTIMATE'!C106, 'STEP 4 - ESTIMATE'!$I$2:$I$630)</f>
        <v>0</v>
      </c>
    </row>
    <row r="104" spans="1:8">
      <c r="A104" s="4" t="s">
        <v>1013</v>
      </c>
      <c r="B104" s="5" t="s">
        <v>936</v>
      </c>
      <c r="C104" s="4" t="s">
        <v>183</v>
      </c>
      <c r="E104" s="4">
        <v>1</v>
      </c>
      <c r="F104" s="4" t="s">
        <v>229</v>
      </c>
      <c r="H104" s="138">
        <f>SUMIF('STEP 4 - ESTIMATE'!$C$2:$C$630, 'STEP 4 - ESTIMATE'!C107, 'STEP 4 - ESTIMATE'!$I$2:$I$630)</f>
        <v>0</v>
      </c>
    </row>
    <row r="105" spans="1:8">
      <c r="A105" s="4" t="s">
        <v>1014</v>
      </c>
      <c r="B105" s="5" t="s">
        <v>936</v>
      </c>
      <c r="C105" s="4" t="s">
        <v>177</v>
      </c>
      <c r="E105" s="4">
        <v>1</v>
      </c>
      <c r="F105" s="4" t="s">
        <v>229</v>
      </c>
      <c r="H105" s="138">
        <f>SUMIF('STEP 4 - ESTIMATE'!$C$2:$C$630, 'STEP 4 - ESTIMATE'!C108, 'STEP 4 - ESTIMATE'!$I$2:$I$630)</f>
        <v>0</v>
      </c>
    </row>
    <row r="106" spans="1:8">
      <c r="A106" s="4" t="s">
        <v>1015</v>
      </c>
      <c r="B106" s="5" t="s">
        <v>936</v>
      </c>
      <c r="C106" s="4" t="s">
        <v>476</v>
      </c>
      <c r="E106" s="4">
        <v>1</v>
      </c>
      <c r="F106" s="4" t="s">
        <v>229</v>
      </c>
      <c r="H106" s="138">
        <f>SUMIF('STEP 4 - ESTIMATE'!$C$2:$C$630, 'STEP 4 - ESTIMATE'!C109, 'STEP 4 - ESTIMATE'!$I$2:$I$630)</f>
        <v>0</v>
      </c>
    </row>
    <row r="107" spans="1:8">
      <c r="A107" s="4" t="s">
        <v>1016</v>
      </c>
      <c r="B107" s="5" t="s">
        <v>936</v>
      </c>
      <c r="C107" s="4" t="s">
        <v>187</v>
      </c>
      <c r="E107" s="4">
        <v>1</v>
      </c>
      <c r="F107" s="4" t="s">
        <v>229</v>
      </c>
      <c r="H107" s="138">
        <f>SUMIF('STEP 4 - ESTIMATE'!$C$2:$C$630, 'STEP 4 - ESTIMATE'!C112, 'STEP 4 - ESTIMATE'!$I$2:$I$630)</f>
        <v>0</v>
      </c>
    </row>
    <row r="108" spans="1:8">
      <c r="A108" s="4" t="s">
        <v>1017</v>
      </c>
      <c r="B108" s="5" t="s">
        <v>936</v>
      </c>
      <c r="C108" s="4" t="s">
        <v>193</v>
      </c>
      <c r="E108" s="4">
        <v>1</v>
      </c>
      <c r="F108" s="4" t="s">
        <v>229</v>
      </c>
      <c r="H108" s="138">
        <f>SUMIF('STEP 4 - ESTIMATE'!$C$2:$C$630, 'STEP 4 - ESTIMATE'!C116, 'STEP 4 - ESTIMATE'!$I$2:$I$630)</f>
        <v>0</v>
      </c>
    </row>
    <row r="109" spans="1:8">
      <c r="A109" s="4" t="s">
        <v>1018</v>
      </c>
      <c r="B109" s="5" t="s">
        <v>936</v>
      </c>
      <c r="C109" s="4" t="s">
        <v>196</v>
      </c>
      <c r="E109" s="4">
        <v>1</v>
      </c>
      <c r="F109" s="4" t="s">
        <v>229</v>
      </c>
      <c r="H109" s="138">
        <f>SUMIF('STEP 4 - ESTIMATE'!$C$2:$C$630, 'STEP 4 - ESTIMATE'!C117, 'STEP 4 - ESTIMATE'!$I$2:$I$630)</f>
        <v>0</v>
      </c>
    </row>
    <row r="110" spans="1:8">
      <c r="A110" s="4" t="s">
        <v>1019</v>
      </c>
      <c r="B110" s="5" t="s">
        <v>936</v>
      </c>
      <c r="C110" s="4" t="s">
        <v>200</v>
      </c>
      <c r="E110" s="4">
        <v>1</v>
      </c>
      <c r="F110" s="4" t="s">
        <v>229</v>
      </c>
      <c r="H110" s="138">
        <f>SUMIF('STEP 4 - ESTIMATE'!$C$2:$C$630, 'STEP 4 - ESTIMATE'!C120, 'STEP 4 - ESTIMATE'!$I$2:$I$630)</f>
        <v>0</v>
      </c>
    </row>
    <row r="111" spans="1:8">
      <c r="A111" s="4" t="s">
        <v>1020</v>
      </c>
      <c r="B111" s="5" t="s">
        <v>936</v>
      </c>
      <c r="C111" s="4" t="s">
        <v>481</v>
      </c>
      <c r="E111" s="4">
        <v>1</v>
      </c>
      <c r="F111" s="4" t="s">
        <v>229</v>
      </c>
      <c r="H111" s="138">
        <f>SUMIF('STEP 4 - ESTIMATE'!$C$2:$C$630, 'STEP 4 - ESTIMATE'!C121, 'STEP 4 - ESTIMATE'!$I$2:$I$630)</f>
        <v>0</v>
      </c>
    </row>
    <row r="112" spans="1:8">
      <c r="A112" s="4" t="s">
        <v>1021</v>
      </c>
      <c r="B112" s="5" t="s">
        <v>936</v>
      </c>
      <c r="C112" s="4" t="s">
        <v>1022</v>
      </c>
      <c r="E112" s="4">
        <v>1</v>
      </c>
      <c r="F112" s="4" t="s">
        <v>229</v>
      </c>
      <c r="H112" s="138">
        <f>SUMIF('STEP 4 - ESTIMATE'!$C$2:$C$630, 'STEP 4 - ESTIMATE'!C122, 'STEP 4 - ESTIMATE'!$I$2:$I$630)</f>
        <v>0</v>
      </c>
    </row>
    <row r="113" spans="1:8">
      <c r="A113" s="4" t="s">
        <v>1023</v>
      </c>
      <c r="B113" s="5" t="s">
        <v>936</v>
      </c>
      <c r="C113" s="4" t="s">
        <v>483</v>
      </c>
      <c r="E113" s="4">
        <v>1</v>
      </c>
      <c r="F113" s="4" t="s">
        <v>229</v>
      </c>
      <c r="H113" s="138">
        <f>SUMIF('STEP 4 - ESTIMATE'!$C$2:$C$630, 'STEP 4 - ESTIMATE'!C123, 'STEP 4 - ESTIMATE'!$I$2:$I$630)</f>
        <v>0</v>
      </c>
    </row>
    <row r="114" spans="1:8">
      <c r="A114" s="4" t="s">
        <v>1024</v>
      </c>
      <c r="B114" s="5" t="s">
        <v>936</v>
      </c>
      <c r="C114" s="4" t="s">
        <v>1025</v>
      </c>
      <c r="E114" s="4">
        <v>1</v>
      </c>
      <c r="F114" s="4" t="s">
        <v>229</v>
      </c>
      <c r="H114" s="138">
        <f>SUMIF('STEP 4 - ESTIMATE'!$C$2:$C$630, 'STEP 4 - ESTIMATE'!C126, 'STEP 4 - ESTIMATE'!$I$2:$I$630)</f>
        <v>0</v>
      </c>
    </row>
    <row r="115" spans="1:8">
      <c r="A115" s="4" t="s">
        <v>1026</v>
      </c>
      <c r="B115" s="5" t="s">
        <v>936</v>
      </c>
      <c r="C115" s="4" t="s">
        <v>486</v>
      </c>
      <c r="E115" s="4">
        <v>1</v>
      </c>
      <c r="F115" s="4" t="s">
        <v>229</v>
      </c>
      <c r="H115" s="138">
        <f>SUMIF('STEP 4 - ESTIMATE'!$C$2:$C$630, 'STEP 4 - ESTIMATE'!C127, 'STEP 4 - ESTIMATE'!$I$2:$I$630)</f>
        <v>0</v>
      </c>
    </row>
    <row r="116" spans="1:8">
      <c r="A116" s="4" t="s">
        <v>1027</v>
      </c>
      <c r="B116" s="5" t="s">
        <v>936</v>
      </c>
      <c r="C116" s="4" t="s">
        <v>487</v>
      </c>
      <c r="E116" s="4">
        <v>1</v>
      </c>
      <c r="F116" s="4" t="s">
        <v>229</v>
      </c>
      <c r="H116" s="138">
        <f>SUMIF('STEP 4 - ESTIMATE'!$C$2:$C$630, 'STEP 4 - ESTIMATE'!C128, 'STEP 4 - ESTIMATE'!$I$2:$I$630)</f>
        <v>0</v>
      </c>
    </row>
    <row r="117" spans="1:8">
      <c r="A117" s="4" t="s">
        <v>1028</v>
      </c>
      <c r="B117" s="5" t="s">
        <v>936</v>
      </c>
      <c r="C117" s="4" t="s">
        <v>488</v>
      </c>
      <c r="E117" s="4">
        <v>1</v>
      </c>
      <c r="F117" s="4" t="s">
        <v>229</v>
      </c>
      <c r="H117" s="138">
        <f>SUMIF('STEP 4 - ESTIMATE'!$C$2:$C$630, 'STEP 4 - ESTIMATE'!C129, 'STEP 4 - ESTIMATE'!$I$2:$I$630)</f>
        <v>0</v>
      </c>
    </row>
    <row r="118" spans="1:8">
      <c r="A118" s="4" t="s">
        <v>1029</v>
      </c>
      <c r="B118" s="5" t="s">
        <v>179</v>
      </c>
      <c r="C118" s="4" t="s">
        <v>1030</v>
      </c>
      <c r="E118" s="4">
        <v>1</v>
      </c>
      <c r="F118" s="4" t="s">
        <v>229</v>
      </c>
      <c r="H118" s="138">
        <f>SUMIF('STEP 4 - ESTIMATE'!$C$2:$C$630, 'STEP 4 - ESTIMATE'!C133, 'STEP 4 - ESTIMATE'!$I$2:$I$630)</f>
        <v>0</v>
      </c>
    </row>
    <row r="119" spans="1:8">
      <c r="A119" s="4" t="s">
        <v>1031</v>
      </c>
      <c r="B119" s="5" t="s">
        <v>179</v>
      </c>
      <c r="C119" s="4" t="s">
        <v>491</v>
      </c>
      <c r="E119" s="4">
        <v>1</v>
      </c>
      <c r="F119" s="4" t="s">
        <v>229</v>
      </c>
      <c r="H119" s="138">
        <f>SUMIF('STEP 4 - ESTIMATE'!$C$2:$C$630, 'STEP 4 - ESTIMATE'!C134, 'STEP 4 - ESTIMATE'!$I$2:$I$630)</f>
        <v>0</v>
      </c>
    </row>
    <row r="120" spans="1:8">
      <c r="A120" s="4" t="s">
        <v>1032</v>
      </c>
      <c r="B120" s="5" t="s">
        <v>179</v>
      </c>
      <c r="C120" s="4" t="s">
        <v>492</v>
      </c>
      <c r="E120" s="4">
        <v>1</v>
      </c>
      <c r="F120" s="4" t="s">
        <v>229</v>
      </c>
      <c r="H120" s="138">
        <f>SUMIF('STEP 4 - ESTIMATE'!$C$2:$C$630, 'STEP 4 - ESTIMATE'!C135, 'STEP 4 - ESTIMATE'!$I$2:$I$630)</f>
        <v>0</v>
      </c>
    </row>
    <row r="121" spans="1:8">
      <c r="A121" s="4" t="s">
        <v>1033</v>
      </c>
      <c r="B121" s="5" t="s">
        <v>936</v>
      </c>
      <c r="C121" s="4" t="s">
        <v>493</v>
      </c>
      <c r="E121" s="4">
        <v>1</v>
      </c>
      <c r="F121" s="4" t="s">
        <v>229</v>
      </c>
      <c r="H121" s="138">
        <f>SUMIF('STEP 4 - ESTIMATE'!$C$2:$C$630, 'STEP 4 - ESTIMATE'!C136, 'STEP 4 - ESTIMATE'!$I$2:$I$630)</f>
        <v>0</v>
      </c>
    </row>
    <row r="122" spans="1:8">
      <c r="A122" s="4" t="s">
        <v>1034</v>
      </c>
      <c r="B122" s="5" t="s">
        <v>936</v>
      </c>
      <c r="C122" s="4" t="s">
        <v>494</v>
      </c>
      <c r="E122" s="4">
        <v>1</v>
      </c>
      <c r="F122" s="4" t="s">
        <v>229</v>
      </c>
      <c r="H122" s="138">
        <f>SUMIF('STEP 4 - ESTIMATE'!$C$2:$C$630, 'STEP 4 - ESTIMATE'!C137, 'STEP 4 - ESTIMATE'!$I$2:$I$630)</f>
        <v>0</v>
      </c>
    </row>
    <row r="123" spans="1:8">
      <c r="A123" s="4" t="s">
        <v>1035</v>
      </c>
      <c r="B123" s="5" t="s">
        <v>936</v>
      </c>
      <c r="C123" s="4" t="s">
        <v>1036</v>
      </c>
      <c r="E123" s="4">
        <v>1</v>
      </c>
      <c r="F123" s="4" t="s">
        <v>229</v>
      </c>
      <c r="H123" s="138">
        <f>SUMIF('STEP 4 - ESTIMATE'!$C$2:$C$630, 'STEP 4 - ESTIMATE'!C139, 'STEP 4 - ESTIMATE'!$I$2:$I$630)</f>
        <v>0</v>
      </c>
    </row>
    <row r="124" spans="1:8">
      <c r="A124" s="4" t="s">
        <v>1037</v>
      </c>
      <c r="B124" s="5" t="s">
        <v>936</v>
      </c>
      <c r="C124" s="4" t="s">
        <v>497</v>
      </c>
      <c r="E124" s="4">
        <v>1</v>
      </c>
      <c r="F124" s="4" t="s">
        <v>229</v>
      </c>
      <c r="H124" s="138">
        <f>SUMIF('STEP 4 - ESTIMATE'!$C$2:$C$630, 'STEP 4 - ESTIMATE'!C140, 'STEP 4 - ESTIMATE'!$I$2:$I$630)</f>
        <v>0</v>
      </c>
    </row>
    <row r="125" spans="1:8">
      <c r="A125" s="4" t="s">
        <v>1038</v>
      </c>
      <c r="B125" s="5" t="s">
        <v>179</v>
      </c>
      <c r="C125" s="4" t="s">
        <v>204</v>
      </c>
      <c r="E125" s="4">
        <v>1</v>
      </c>
      <c r="F125" s="4" t="s">
        <v>229</v>
      </c>
      <c r="H125" s="138">
        <f>SUMIF('STEP 4 - ESTIMATE'!$C$2:$C$630, 'STEP 4 - ESTIMATE'!C141, 'STEP 4 - ESTIMATE'!$I$2:$I$630)</f>
        <v>0</v>
      </c>
    </row>
    <row r="126" spans="1:8">
      <c r="A126" s="4" t="s">
        <v>1039</v>
      </c>
      <c r="B126" s="5" t="s">
        <v>179</v>
      </c>
      <c r="C126" s="4" t="s">
        <v>499</v>
      </c>
      <c r="E126" s="4">
        <v>1</v>
      </c>
      <c r="F126" s="4" t="s">
        <v>229</v>
      </c>
      <c r="H126" s="138">
        <f>SUMIF('STEP 4 - ESTIMATE'!$C$2:$C$630, 'STEP 4 - ESTIMATE'!C143, 'STEP 4 - ESTIMATE'!$I$2:$I$630)</f>
        <v>0</v>
      </c>
    </row>
    <row r="127" spans="1:8">
      <c r="A127" s="4" t="s">
        <v>1040</v>
      </c>
      <c r="B127" s="5" t="s">
        <v>936</v>
      </c>
      <c r="C127" s="4" t="s">
        <v>500</v>
      </c>
      <c r="E127" s="4">
        <v>1</v>
      </c>
      <c r="F127" s="4" t="s">
        <v>229</v>
      </c>
      <c r="H127" s="138">
        <f>SUMIF('STEP 4 - ESTIMATE'!$C$2:$C$630, 'STEP 4 - ESTIMATE'!C144, 'STEP 4 - ESTIMATE'!$I$2:$I$630)</f>
        <v>0</v>
      </c>
    </row>
    <row r="128" spans="1:8">
      <c r="A128" s="4" t="s">
        <v>1041</v>
      </c>
      <c r="B128" s="5" t="s">
        <v>936</v>
      </c>
      <c r="C128" s="4" t="s">
        <v>501</v>
      </c>
      <c r="E128" s="4">
        <v>1</v>
      </c>
      <c r="F128" s="4" t="s">
        <v>229</v>
      </c>
      <c r="H128" s="138">
        <f>SUMIF('STEP 4 - ESTIMATE'!$C$2:$C$630, 'STEP 4 - ESTIMATE'!C146, 'STEP 4 - ESTIMATE'!$I$2:$I$630)</f>
        <v>0</v>
      </c>
    </row>
    <row r="129" spans="1:8">
      <c r="A129" s="4" t="s">
        <v>1042</v>
      </c>
      <c r="B129" s="5" t="s">
        <v>936</v>
      </c>
      <c r="C129" s="4" t="s">
        <v>503</v>
      </c>
      <c r="E129" s="4">
        <v>1</v>
      </c>
      <c r="F129" s="4" t="s">
        <v>229</v>
      </c>
      <c r="H129" s="138">
        <f>SUMIF('STEP 4 - ESTIMATE'!$C$2:$C$630, 'STEP 4 - ESTIMATE'!C147, 'STEP 4 - ESTIMATE'!$I$2:$I$630)</f>
        <v>0</v>
      </c>
    </row>
    <row r="130" spans="1:8">
      <c r="A130" s="4" t="s">
        <v>1043</v>
      </c>
      <c r="B130" s="5" t="s">
        <v>936</v>
      </c>
      <c r="C130" s="4" t="s">
        <v>504</v>
      </c>
      <c r="E130" s="4">
        <v>1</v>
      </c>
      <c r="F130" s="4" t="s">
        <v>229</v>
      </c>
      <c r="H130" s="138">
        <f>SUMIF('STEP 4 - ESTIMATE'!$C$2:$C$630, 'STEP 4 - ESTIMATE'!C148, 'STEP 4 - ESTIMATE'!$I$2:$I$630)</f>
        <v>0</v>
      </c>
    </row>
    <row r="131" spans="1:8">
      <c r="A131" s="4" t="s">
        <v>1044</v>
      </c>
      <c r="B131" s="5" t="s">
        <v>936</v>
      </c>
      <c r="C131" s="4" t="s">
        <v>507</v>
      </c>
      <c r="E131" s="4">
        <v>1</v>
      </c>
      <c r="F131" s="4" t="s">
        <v>229</v>
      </c>
      <c r="H131" s="138">
        <f>SUMIF('STEP 4 - ESTIMATE'!$C$2:$C$630, 'STEP 4 - ESTIMATE'!C152, 'STEP 4 - ESTIMATE'!$I$2:$I$630)</f>
        <v>0</v>
      </c>
    </row>
    <row r="132" spans="1:8">
      <c r="A132" s="4" t="s">
        <v>1045</v>
      </c>
      <c r="B132" s="5" t="s">
        <v>936</v>
      </c>
      <c r="C132" s="4" t="s">
        <v>508</v>
      </c>
      <c r="E132" s="4">
        <v>1</v>
      </c>
      <c r="F132" s="4" t="s">
        <v>229</v>
      </c>
      <c r="H132" s="138">
        <f>SUMIF('STEP 4 - ESTIMATE'!$C$2:$C$630, 'STEP 4 - ESTIMATE'!C153, 'STEP 4 - ESTIMATE'!$I$2:$I$630)</f>
        <v>0</v>
      </c>
    </row>
    <row r="133" spans="1:8">
      <c r="A133" s="4" t="s">
        <v>1046</v>
      </c>
      <c r="B133" s="5" t="s">
        <v>936</v>
      </c>
      <c r="C133" s="4" t="s">
        <v>509</v>
      </c>
      <c r="E133" s="4">
        <v>1</v>
      </c>
      <c r="F133" s="4" t="s">
        <v>229</v>
      </c>
      <c r="H133" s="138">
        <f>SUMIF('STEP 4 - ESTIMATE'!$C$2:$C$630, 'STEP 4 - ESTIMATE'!C154, 'STEP 4 - ESTIMATE'!$I$2:$I$630)</f>
        <v>0</v>
      </c>
    </row>
    <row r="134" spans="1:8">
      <c r="A134" s="4" t="s">
        <v>1047</v>
      </c>
      <c r="B134" s="5" t="s">
        <v>936</v>
      </c>
      <c r="C134" s="4" t="s">
        <v>1048</v>
      </c>
      <c r="E134" s="4">
        <v>1</v>
      </c>
      <c r="F134" s="4" t="s">
        <v>229</v>
      </c>
      <c r="H134" s="138">
        <f>SUMIF('STEP 4 - ESTIMATE'!$C$2:$C$630, 'STEP 4 - ESTIMATE'!C155, 'STEP 4 - ESTIMATE'!$I$2:$I$630)</f>
        <v>0</v>
      </c>
    </row>
    <row r="135" spans="1:8">
      <c r="A135" s="4" t="s">
        <v>1049</v>
      </c>
      <c r="B135" s="5" t="s">
        <v>936</v>
      </c>
      <c r="C135" s="4" t="s">
        <v>511</v>
      </c>
      <c r="E135" s="4">
        <v>1</v>
      </c>
      <c r="F135" s="4" t="s">
        <v>229</v>
      </c>
      <c r="H135" s="138">
        <f>SUMIF('STEP 4 - ESTIMATE'!$C$2:$C$630, 'STEP 4 - ESTIMATE'!C156, 'STEP 4 - ESTIMATE'!$I$2:$I$630)</f>
        <v>0</v>
      </c>
    </row>
    <row r="136" spans="1:8">
      <c r="A136" s="4" t="s">
        <v>1050</v>
      </c>
      <c r="B136" s="5" t="s">
        <v>936</v>
      </c>
      <c r="C136" s="4" t="s">
        <v>512</v>
      </c>
      <c r="E136" s="4">
        <v>1</v>
      </c>
      <c r="F136" s="4" t="s">
        <v>229</v>
      </c>
      <c r="H136" s="138">
        <f>SUMIF('STEP 4 - ESTIMATE'!$C$2:$C$630, 'STEP 4 - ESTIMATE'!C157, 'STEP 4 - ESTIMATE'!$I$2:$I$630)</f>
        <v>0</v>
      </c>
    </row>
    <row r="137" spans="1:8">
      <c r="A137" s="4" t="s">
        <v>1051</v>
      </c>
      <c r="B137" s="5" t="s">
        <v>936</v>
      </c>
      <c r="C137" s="4" t="s">
        <v>513</v>
      </c>
      <c r="E137" s="4">
        <v>1</v>
      </c>
      <c r="F137" s="4" t="s">
        <v>229</v>
      </c>
      <c r="H137" s="138">
        <f>SUMIF('STEP 4 - ESTIMATE'!$C$2:$C$630, 'STEP 4 - ESTIMATE'!C158, 'STEP 4 - ESTIMATE'!$I$2:$I$630)</f>
        <v>0</v>
      </c>
    </row>
    <row r="138" spans="1:8">
      <c r="A138" s="4" t="s">
        <v>1052</v>
      </c>
      <c r="B138" s="5" t="s">
        <v>936</v>
      </c>
      <c r="C138" s="4" t="s">
        <v>514</v>
      </c>
      <c r="E138" s="4">
        <v>1</v>
      </c>
      <c r="F138" s="4" t="s">
        <v>229</v>
      </c>
      <c r="H138" s="138">
        <f>SUMIF('STEP 4 - ESTIMATE'!$C$2:$C$630, 'STEP 4 - ESTIMATE'!C159, 'STEP 4 - ESTIMATE'!$I$2:$I$630)</f>
        <v>0</v>
      </c>
    </row>
    <row r="139" spans="1:8">
      <c r="A139" s="4" t="s">
        <v>1053</v>
      </c>
      <c r="B139" s="5" t="s">
        <v>936</v>
      </c>
      <c r="C139" s="4" t="s">
        <v>516</v>
      </c>
      <c r="E139" s="4">
        <v>1</v>
      </c>
      <c r="F139" s="4" t="s">
        <v>229</v>
      </c>
      <c r="H139" s="138">
        <f>SUMIF('STEP 4 - ESTIMATE'!$C$2:$C$630, 'STEP 4 - ESTIMATE'!C160, 'STEP 4 - ESTIMATE'!$I$2:$I$630)</f>
        <v>0</v>
      </c>
    </row>
    <row r="140" spans="1:8">
      <c r="A140" s="4" t="s">
        <v>1054</v>
      </c>
      <c r="B140" s="5" t="s">
        <v>936</v>
      </c>
      <c r="C140" s="4" t="s">
        <v>1055</v>
      </c>
      <c r="E140" s="4">
        <v>1</v>
      </c>
      <c r="F140" s="4" t="s">
        <v>229</v>
      </c>
      <c r="H140" s="138">
        <f>SUMIF('STEP 4 - ESTIMATE'!$C$2:$C$630, 'STEP 4 - ESTIMATE'!C161, 'STEP 4 - ESTIMATE'!$I$2:$I$630)</f>
        <v>0</v>
      </c>
    </row>
    <row r="141" spans="1:8">
      <c r="A141" s="4" t="s">
        <v>1056</v>
      </c>
      <c r="B141" s="5" t="s">
        <v>936</v>
      </c>
      <c r="C141" s="4" t="s">
        <v>518</v>
      </c>
      <c r="E141" s="4">
        <v>1</v>
      </c>
      <c r="F141" s="4" t="s">
        <v>229</v>
      </c>
      <c r="H141" s="138">
        <f>SUMIF('STEP 4 - ESTIMATE'!$C$2:$C$630, 'STEP 4 - ESTIMATE'!C162, 'STEP 4 - ESTIMATE'!$I$2:$I$630)</f>
        <v>0</v>
      </c>
    </row>
    <row r="142" spans="1:8">
      <c r="A142" s="4" t="s">
        <v>1057</v>
      </c>
      <c r="B142" s="5" t="s">
        <v>936</v>
      </c>
      <c r="C142" s="4" t="s">
        <v>519</v>
      </c>
      <c r="E142" s="4">
        <v>1</v>
      </c>
      <c r="F142" s="4" t="s">
        <v>229</v>
      </c>
      <c r="H142" s="138">
        <f>SUMIF('STEP 4 - ESTIMATE'!$C$2:$C$630, 'STEP 4 - ESTIMATE'!C163, 'STEP 4 - ESTIMATE'!$I$2:$I$630)</f>
        <v>0</v>
      </c>
    </row>
    <row r="143" spans="1:8">
      <c r="A143" s="4" t="s">
        <v>1058</v>
      </c>
      <c r="B143" s="5" t="s">
        <v>179</v>
      </c>
      <c r="C143" s="4" t="s">
        <v>521</v>
      </c>
      <c r="E143" s="4">
        <v>1</v>
      </c>
      <c r="F143" s="4" t="s">
        <v>229</v>
      </c>
      <c r="H143" s="138">
        <f>SUMIF('STEP 4 - ESTIMATE'!$C$2:$C$630, 'STEP 4 - ESTIMATE'!C167, 'STEP 4 - ESTIMATE'!$I$2:$I$630)</f>
        <v>0</v>
      </c>
    </row>
    <row r="144" spans="1:8">
      <c r="A144" s="4" t="s">
        <v>1059</v>
      </c>
      <c r="B144" s="5" t="s">
        <v>936</v>
      </c>
      <c r="C144" s="4" t="s">
        <v>522</v>
      </c>
      <c r="E144" s="4">
        <v>1</v>
      </c>
      <c r="F144" s="4" t="s">
        <v>229</v>
      </c>
      <c r="H144" s="138">
        <f>SUMIF('STEP 4 - ESTIMATE'!$C$2:$C$630, 'STEP 4 - ESTIMATE'!C168, 'STEP 4 - ESTIMATE'!$I$2:$I$630)</f>
        <v>0</v>
      </c>
    </row>
    <row r="145" spans="1:8">
      <c r="A145" s="4" t="s">
        <v>1060</v>
      </c>
      <c r="B145" s="5" t="s">
        <v>936</v>
      </c>
      <c r="C145" s="4" t="s">
        <v>525</v>
      </c>
      <c r="E145" s="4">
        <v>1</v>
      </c>
      <c r="F145" s="4" t="s">
        <v>229</v>
      </c>
      <c r="H145" s="138">
        <f>SUMIF('STEP 4 - ESTIMATE'!$C$2:$C$630, 'STEP 4 - ESTIMATE'!C171, 'STEP 4 - ESTIMATE'!$I$2:$I$630)</f>
        <v>0</v>
      </c>
    </row>
    <row r="146" spans="1:8">
      <c r="A146" s="4" t="s">
        <v>1061</v>
      </c>
      <c r="B146" s="5" t="s">
        <v>1062</v>
      </c>
      <c r="C146" s="4" t="s">
        <v>526</v>
      </c>
      <c r="E146" s="4">
        <v>1</v>
      </c>
      <c r="F146" s="4" t="s">
        <v>229</v>
      </c>
      <c r="H146" s="138">
        <f>SUMIF('STEP 4 - ESTIMATE'!$C$2:$C$630, 'STEP 4 - ESTIMATE'!C172, 'STEP 4 - ESTIMATE'!$I$2:$I$630)</f>
        <v>0</v>
      </c>
    </row>
    <row r="147" spans="1:8">
      <c r="A147" s="4" t="s">
        <v>1063</v>
      </c>
      <c r="B147" s="5" t="s">
        <v>179</v>
      </c>
      <c r="C147" s="4" t="s">
        <v>527</v>
      </c>
      <c r="E147" s="4">
        <v>1</v>
      </c>
      <c r="F147" s="4" t="s">
        <v>229</v>
      </c>
      <c r="H147" s="138">
        <f>SUMIF('STEP 4 - ESTIMATE'!$C$2:$C$630, 'STEP 4 - ESTIMATE'!C173, 'STEP 4 - ESTIMATE'!$I$2:$I$630)</f>
        <v>0</v>
      </c>
    </row>
    <row r="148" spans="1:8">
      <c r="A148" s="4" t="s">
        <v>1064</v>
      </c>
      <c r="B148" s="5" t="s">
        <v>936</v>
      </c>
      <c r="C148" s="4" t="s">
        <v>528</v>
      </c>
      <c r="E148" s="4">
        <v>1</v>
      </c>
      <c r="F148" s="4" t="s">
        <v>229</v>
      </c>
      <c r="H148" s="138">
        <f>SUMIF('STEP 4 - ESTIMATE'!$C$2:$C$630, 'STEP 4 - ESTIMATE'!C174, 'STEP 4 - ESTIMATE'!$I$2:$I$630)</f>
        <v>0</v>
      </c>
    </row>
    <row r="149" spans="1:8">
      <c r="A149" s="4" t="s">
        <v>1065</v>
      </c>
      <c r="B149" s="5" t="s">
        <v>179</v>
      </c>
      <c r="C149" s="4" t="s">
        <v>529</v>
      </c>
      <c r="E149" s="4">
        <v>1</v>
      </c>
      <c r="F149" s="4" t="s">
        <v>229</v>
      </c>
      <c r="H149" s="138">
        <f>SUMIF('STEP 4 - ESTIMATE'!$C$2:$C$630, 'STEP 4 - ESTIMATE'!C175, 'STEP 4 - ESTIMATE'!$I$2:$I$630)</f>
        <v>0</v>
      </c>
    </row>
    <row r="150" spans="1:8">
      <c r="A150" s="4" t="s">
        <v>1066</v>
      </c>
      <c r="B150" s="5" t="s">
        <v>179</v>
      </c>
      <c r="C150" s="4" t="s">
        <v>530</v>
      </c>
      <c r="E150" s="4">
        <v>1</v>
      </c>
      <c r="F150" s="4" t="s">
        <v>229</v>
      </c>
      <c r="H150" s="138">
        <f>SUMIF('STEP 4 - ESTIMATE'!$C$2:$C$630, 'STEP 4 - ESTIMATE'!C176, 'STEP 4 - ESTIMATE'!$I$2:$I$630)</f>
        <v>0</v>
      </c>
    </row>
    <row r="151" spans="1:8">
      <c r="A151" s="4" t="s">
        <v>1067</v>
      </c>
      <c r="B151" s="5" t="s">
        <v>936</v>
      </c>
      <c r="C151" s="4" t="s">
        <v>531</v>
      </c>
      <c r="E151" s="4">
        <v>1</v>
      </c>
      <c r="F151" s="4" t="s">
        <v>229</v>
      </c>
      <c r="H151" s="138">
        <f>SUMIF('STEP 4 - ESTIMATE'!$C$2:$C$630, 'STEP 4 - ESTIMATE'!C177, 'STEP 4 - ESTIMATE'!$I$2:$I$630)</f>
        <v>0</v>
      </c>
    </row>
    <row r="152" spans="1:8">
      <c r="A152" s="4" t="s">
        <v>1068</v>
      </c>
      <c r="B152" s="5" t="s">
        <v>936</v>
      </c>
      <c r="C152" s="4" t="s">
        <v>532</v>
      </c>
      <c r="E152" s="4">
        <v>1</v>
      </c>
      <c r="F152" s="4" t="s">
        <v>229</v>
      </c>
      <c r="H152" s="138">
        <f>SUMIF('STEP 4 - ESTIMATE'!$C$2:$C$630, 'STEP 4 - ESTIMATE'!C178, 'STEP 4 - ESTIMATE'!$I$2:$I$630)</f>
        <v>0</v>
      </c>
    </row>
    <row r="153" spans="1:8">
      <c r="A153" s="4" t="s">
        <v>1069</v>
      </c>
      <c r="B153" s="5" t="s">
        <v>936</v>
      </c>
      <c r="C153" s="4" t="s">
        <v>534</v>
      </c>
      <c r="E153" s="4">
        <v>1</v>
      </c>
      <c r="F153" s="4" t="s">
        <v>229</v>
      </c>
      <c r="H153" s="138">
        <f>SUMIF('STEP 4 - ESTIMATE'!$C$2:$C$630, 'STEP 4 - ESTIMATE'!C180, 'STEP 4 - ESTIMATE'!$I$2:$I$630)</f>
        <v>0</v>
      </c>
    </row>
    <row r="154" spans="1:8">
      <c r="A154" s="4" t="s">
        <v>1070</v>
      </c>
      <c r="B154" s="5" t="s">
        <v>179</v>
      </c>
      <c r="C154" s="4" t="s">
        <v>535</v>
      </c>
      <c r="E154" s="4">
        <v>1</v>
      </c>
      <c r="F154" s="4" t="s">
        <v>229</v>
      </c>
      <c r="H154" s="138">
        <f>SUMIF('STEP 4 - ESTIMATE'!$C$2:$C$630, 'STEP 4 - ESTIMATE'!C181, 'STEP 4 - ESTIMATE'!$I$2:$I$630)</f>
        <v>0</v>
      </c>
    </row>
    <row r="155" spans="1:8">
      <c r="A155" s="4" t="s">
        <v>1071</v>
      </c>
      <c r="B155" s="5" t="s">
        <v>179</v>
      </c>
      <c r="C155" s="4" t="s">
        <v>536</v>
      </c>
      <c r="E155" s="4">
        <v>1</v>
      </c>
      <c r="F155" s="4" t="s">
        <v>229</v>
      </c>
      <c r="H155" s="138">
        <f>SUMIF('STEP 4 - ESTIMATE'!$C$2:$C$630, 'STEP 4 - ESTIMATE'!C182, 'STEP 4 - ESTIMATE'!$I$2:$I$630)</f>
        <v>0</v>
      </c>
    </row>
    <row r="156" spans="1:8">
      <c r="A156" s="4" t="s">
        <v>1072</v>
      </c>
      <c r="B156" s="5" t="s">
        <v>179</v>
      </c>
      <c r="C156" s="4" t="s">
        <v>537</v>
      </c>
      <c r="E156" s="4">
        <v>1</v>
      </c>
      <c r="F156" s="4" t="s">
        <v>229</v>
      </c>
      <c r="H156" s="138">
        <f>SUMIF('STEP 4 - ESTIMATE'!$C$2:$C$630, 'STEP 4 - ESTIMATE'!C183, 'STEP 4 - ESTIMATE'!$I$2:$I$630)</f>
        <v>0</v>
      </c>
    </row>
    <row r="157" spans="1:8">
      <c r="A157" s="4" t="s">
        <v>1073</v>
      </c>
      <c r="B157" s="5" t="s">
        <v>936</v>
      </c>
      <c r="C157" s="4" t="s">
        <v>539</v>
      </c>
      <c r="E157" s="4">
        <v>1</v>
      </c>
      <c r="F157" s="4" t="s">
        <v>229</v>
      </c>
      <c r="H157" s="138">
        <f>SUMIF('STEP 4 - ESTIMATE'!$C$2:$C$630, 'STEP 4 - ESTIMATE'!C185, 'STEP 4 - ESTIMATE'!$I$2:$I$630)</f>
        <v>0</v>
      </c>
    </row>
    <row r="158" spans="1:8">
      <c r="A158" s="4" t="s">
        <v>1074</v>
      </c>
      <c r="B158" s="5" t="s">
        <v>936</v>
      </c>
      <c r="C158" s="4" t="s">
        <v>540</v>
      </c>
      <c r="E158" s="4">
        <v>1</v>
      </c>
      <c r="F158" s="4" t="s">
        <v>229</v>
      </c>
      <c r="H158" s="138">
        <f>SUMIF('STEP 4 - ESTIMATE'!$C$2:$C$630, 'STEP 4 - ESTIMATE'!C186, 'STEP 4 - ESTIMATE'!$I$2:$I$630)</f>
        <v>0</v>
      </c>
    </row>
    <row r="159" spans="1:8">
      <c r="A159" s="4" t="s">
        <v>1075</v>
      </c>
      <c r="B159" s="5" t="s">
        <v>936</v>
      </c>
      <c r="C159" s="4" t="s">
        <v>541</v>
      </c>
      <c r="E159" s="4">
        <v>1</v>
      </c>
      <c r="F159" s="4" t="s">
        <v>229</v>
      </c>
      <c r="H159" s="138">
        <f>SUMIF('STEP 4 - ESTIMATE'!$C$2:$C$630, 'STEP 4 - ESTIMATE'!C187, 'STEP 4 - ESTIMATE'!$I$2:$I$630)</f>
        <v>0</v>
      </c>
    </row>
    <row r="160" spans="1:8">
      <c r="A160" s="4" t="s">
        <v>1076</v>
      </c>
      <c r="B160" s="5" t="s">
        <v>936</v>
      </c>
      <c r="C160" s="4" t="s">
        <v>542</v>
      </c>
      <c r="E160" s="4">
        <v>1</v>
      </c>
      <c r="F160" s="4" t="s">
        <v>229</v>
      </c>
      <c r="H160" s="138">
        <f>SUMIF('STEP 4 - ESTIMATE'!$C$2:$C$630, 'STEP 4 - ESTIMATE'!C188, 'STEP 4 - ESTIMATE'!$I$2:$I$630)</f>
        <v>0</v>
      </c>
    </row>
    <row r="161" spans="1:8">
      <c r="A161" s="4" t="s">
        <v>1077</v>
      </c>
      <c r="B161" s="5" t="s">
        <v>179</v>
      </c>
      <c r="C161" s="4" t="s">
        <v>1078</v>
      </c>
      <c r="E161" s="4">
        <v>1</v>
      </c>
      <c r="F161" s="4" t="s">
        <v>229</v>
      </c>
      <c r="H161" s="138">
        <f>SUMIF('STEP 4 - ESTIMATE'!$C$2:$C$630, 'STEP 4 - ESTIMATE'!C192, 'STEP 4 - ESTIMATE'!$I$2:$I$630)</f>
        <v>0</v>
      </c>
    </row>
    <row r="162" spans="1:8">
      <c r="A162" s="4" t="s">
        <v>1079</v>
      </c>
      <c r="B162" s="5" t="s">
        <v>936</v>
      </c>
      <c r="C162" s="4" t="s">
        <v>545</v>
      </c>
      <c r="E162" s="4">
        <v>1</v>
      </c>
      <c r="F162" s="4" t="s">
        <v>229</v>
      </c>
      <c r="H162" s="138">
        <f>SUMIF('STEP 4 - ESTIMATE'!$C$2:$C$630, 'STEP 4 - ESTIMATE'!C193, 'STEP 4 - ESTIMATE'!$I$2:$I$630)</f>
        <v>0</v>
      </c>
    </row>
    <row r="163" spans="1:8">
      <c r="A163" s="4" t="s">
        <v>1080</v>
      </c>
      <c r="B163" s="5" t="s">
        <v>179</v>
      </c>
      <c r="C163" s="4" t="s">
        <v>546</v>
      </c>
      <c r="E163" s="4">
        <v>1</v>
      </c>
      <c r="F163" s="4" t="s">
        <v>229</v>
      </c>
      <c r="H163" s="138">
        <f>SUMIF('STEP 4 - ESTIMATE'!$C$2:$C$630, 'STEP 4 - ESTIMATE'!C194, 'STEP 4 - ESTIMATE'!$I$2:$I$630)</f>
        <v>0</v>
      </c>
    </row>
    <row r="164" spans="1:8">
      <c r="A164" s="4" t="s">
        <v>1081</v>
      </c>
      <c r="B164" s="5" t="s">
        <v>179</v>
      </c>
      <c r="C164" s="4" t="s">
        <v>547</v>
      </c>
      <c r="E164" s="4">
        <v>1</v>
      </c>
      <c r="F164" s="4" t="s">
        <v>229</v>
      </c>
      <c r="H164" s="138">
        <f>SUMIF('STEP 4 - ESTIMATE'!$C$2:$C$630, 'STEP 4 - ESTIMATE'!C195, 'STEP 4 - ESTIMATE'!$I$2:$I$630)</f>
        <v>0</v>
      </c>
    </row>
    <row r="165" spans="1:8">
      <c r="A165" s="4" t="s">
        <v>1082</v>
      </c>
      <c r="B165" s="5" t="s">
        <v>179</v>
      </c>
      <c r="C165" s="4" t="s">
        <v>548</v>
      </c>
      <c r="E165" s="4">
        <v>1</v>
      </c>
      <c r="F165" s="4" t="s">
        <v>229</v>
      </c>
      <c r="H165" s="138">
        <f>SUMIF('STEP 4 - ESTIMATE'!$C$2:$C$630, 'STEP 4 - ESTIMATE'!C196, 'STEP 4 - ESTIMATE'!$I$2:$I$630)</f>
        <v>0</v>
      </c>
    </row>
    <row r="166" spans="1:8">
      <c r="A166" s="4" t="s">
        <v>1083</v>
      </c>
      <c r="B166" s="5" t="s">
        <v>936</v>
      </c>
      <c r="C166" s="4" t="s">
        <v>549</v>
      </c>
      <c r="E166" s="4">
        <v>1</v>
      </c>
      <c r="F166" s="4" t="s">
        <v>229</v>
      </c>
      <c r="H166" s="138">
        <f>SUMIF('STEP 4 - ESTIMATE'!$C$2:$C$630, 'STEP 4 - ESTIMATE'!C197, 'STEP 4 - ESTIMATE'!$I$2:$I$630)</f>
        <v>0</v>
      </c>
    </row>
    <row r="167" spans="1:8">
      <c r="A167" s="4" t="s">
        <v>1084</v>
      </c>
      <c r="B167" s="5" t="s">
        <v>936</v>
      </c>
      <c r="C167" s="4" t="s">
        <v>550</v>
      </c>
      <c r="E167" s="4">
        <v>1</v>
      </c>
      <c r="F167" s="4" t="s">
        <v>229</v>
      </c>
      <c r="H167" s="138">
        <f>SUMIF('STEP 4 - ESTIMATE'!$C$2:$C$630, 'STEP 4 - ESTIMATE'!C198, 'STEP 4 - ESTIMATE'!$I$2:$I$630)</f>
        <v>0</v>
      </c>
    </row>
    <row r="168" spans="1:8">
      <c r="A168" s="4" t="s">
        <v>1085</v>
      </c>
      <c r="B168" s="5" t="s">
        <v>936</v>
      </c>
      <c r="C168" s="4" t="s">
        <v>552</v>
      </c>
      <c r="E168" s="4">
        <v>1</v>
      </c>
      <c r="F168" s="4" t="s">
        <v>229</v>
      </c>
      <c r="H168" s="138">
        <f>SUMIF('STEP 4 - ESTIMATE'!$C$2:$C$630, 'STEP 4 - ESTIMATE'!C202, 'STEP 4 - ESTIMATE'!$I$2:$I$630)</f>
        <v>0</v>
      </c>
    </row>
    <row r="169" spans="1:8">
      <c r="A169" s="4" t="s">
        <v>1086</v>
      </c>
      <c r="B169" s="5" t="s">
        <v>179</v>
      </c>
      <c r="C169" s="4" t="s">
        <v>1087</v>
      </c>
      <c r="E169" s="4">
        <v>1</v>
      </c>
      <c r="F169" s="4" t="s">
        <v>229</v>
      </c>
      <c r="H169" s="138">
        <f>SUMIF('STEP 4 - ESTIMATE'!$C$2:$C$630, 'STEP 4 - ESTIMATE'!C203, 'STEP 4 - ESTIMATE'!$I$2:$I$630)</f>
        <v>0</v>
      </c>
    </row>
    <row r="170" spans="1:8">
      <c r="A170" s="4" t="s">
        <v>1088</v>
      </c>
      <c r="B170" s="5" t="s">
        <v>936</v>
      </c>
      <c r="C170" s="4" t="s">
        <v>556</v>
      </c>
      <c r="E170" s="4">
        <v>1</v>
      </c>
      <c r="F170" s="4" t="s">
        <v>229</v>
      </c>
      <c r="H170" s="138">
        <f>SUMIF('STEP 4 - ESTIMATE'!$C$2:$C$630, 'STEP 4 - ESTIMATE'!C206, 'STEP 4 - ESTIMATE'!$I$2:$I$630)</f>
        <v>0</v>
      </c>
    </row>
    <row r="171" spans="1:8">
      <c r="A171" s="4" t="s">
        <v>1089</v>
      </c>
      <c r="B171" s="5" t="s">
        <v>936</v>
      </c>
      <c r="C171" s="4" t="s">
        <v>557</v>
      </c>
      <c r="E171" s="4">
        <v>1</v>
      </c>
      <c r="F171" s="4" t="s">
        <v>229</v>
      </c>
      <c r="H171" s="138">
        <f>SUMIF('STEP 4 - ESTIMATE'!$C$2:$C$630, 'STEP 4 - ESTIMATE'!C207, 'STEP 4 - ESTIMATE'!$I$2:$I$630)</f>
        <v>0</v>
      </c>
    </row>
    <row r="172" spans="1:8">
      <c r="A172" s="4" t="s">
        <v>1090</v>
      </c>
      <c r="B172" s="5" t="s">
        <v>179</v>
      </c>
      <c r="C172" s="4" t="s">
        <v>558</v>
      </c>
      <c r="E172" s="4">
        <v>1</v>
      </c>
      <c r="F172" s="4" t="s">
        <v>229</v>
      </c>
      <c r="H172" s="138">
        <f>SUMIF('STEP 4 - ESTIMATE'!$C$2:$C$630, 'STEP 4 - ESTIMATE'!C208, 'STEP 4 - ESTIMATE'!$I$2:$I$630)</f>
        <v>0</v>
      </c>
    </row>
    <row r="173" spans="1:8">
      <c r="A173" s="4" t="s">
        <v>1091</v>
      </c>
      <c r="B173" s="5" t="s">
        <v>936</v>
      </c>
      <c r="C173" s="4" t="s">
        <v>559</v>
      </c>
      <c r="E173" s="4">
        <v>1</v>
      </c>
      <c r="F173" s="4" t="s">
        <v>229</v>
      </c>
      <c r="H173" s="138">
        <f>SUMIF('STEP 4 - ESTIMATE'!$C$2:$C$630, 'STEP 4 - ESTIMATE'!C209, 'STEP 4 - ESTIMATE'!$I$2:$I$630)</f>
        <v>0</v>
      </c>
    </row>
    <row r="174" spans="1:8">
      <c r="A174" s="4" t="s">
        <v>1092</v>
      </c>
      <c r="B174" s="5" t="s">
        <v>936</v>
      </c>
      <c r="C174" s="4" t="s">
        <v>560</v>
      </c>
      <c r="E174" s="4">
        <v>1</v>
      </c>
      <c r="F174" s="4" t="s">
        <v>229</v>
      </c>
      <c r="H174" s="138">
        <f>SUMIF('STEP 4 - ESTIMATE'!$C$2:$C$630, 'STEP 4 - ESTIMATE'!C210, 'STEP 4 - ESTIMATE'!$I$2:$I$630)</f>
        <v>0</v>
      </c>
    </row>
    <row r="175" spans="1:8">
      <c r="A175" s="4" t="s">
        <v>1093</v>
      </c>
      <c r="B175" s="5" t="s">
        <v>936</v>
      </c>
      <c r="C175" s="4" t="s">
        <v>1094</v>
      </c>
      <c r="E175" s="4">
        <v>1</v>
      </c>
      <c r="F175" s="4" t="s">
        <v>229</v>
      </c>
      <c r="H175" s="138">
        <f>SUMIF('STEP 4 - ESTIMATE'!$C$2:$C$630, 'STEP 4 - ESTIMATE'!C214, 'STEP 4 - ESTIMATE'!$I$2:$I$630)</f>
        <v>0</v>
      </c>
    </row>
    <row r="176" spans="1:8">
      <c r="A176" s="4" t="s">
        <v>1095</v>
      </c>
      <c r="B176" s="5" t="s">
        <v>179</v>
      </c>
      <c r="C176" s="4" t="s">
        <v>564</v>
      </c>
      <c r="E176" s="4">
        <v>1</v>
      </c>
      <c r="F176" s="4" t="s">
        <v>229</v>
      </c>
      <c r="H176" s="138">
        <f>SUMIF('STEP 4 - ESTIMATE'!$C$2:$C$630, 'STEP 4 - ESTIMATE'!C216, 'STEP 4 - ESTIMATE'!$I$2:$I$630)</f>
        <v>0</v>
      </c>
    </row>
    <row r="177" spans="1:8">
      <c r="A177" s="4" t="s">
        <v>1096</v>
      </c>
      <c r="B177" s="5" t="s">
        <v>936</v>
      </c>
      <c r="C177" s="4" t="s">
        <v>565</v>
      </c>
      <c r="E177" s="4">
        <v>1</v>
      </c>
      <c r="F177" s="4" t="s">
        <v>229</v>
      </c>
      <c r="H177" s="138">
        <f>SUMIF('STEP 4 - ESTIMATE'!$C$2:$C$630, 'STEP 4 - ESTIMATE'!C217, 'STEP 4 - ESTIMATE'!$I$2:$I$630)</f>
        <v>0</v>
      </c>
    </row>
    <row r="178" spans="1:8">
      <c r="A178" s="4" t="s">
        <v>1097</v>
      </c>
      <c r="B178" s="5" t="s">
        <v>936</v>
      </c>
      <c r="C178" s="4" t="s">
        <v>566</v>
      </c>
      <c r="E178" s="4">
        <v>1</v>
      </c>
      <c r="F178" s="4" t="s">
        <v>229</v>
      </c>
      <c r="H178" s="138">
        <f>SUMIF('STEP 4 - ESTIMATE'!$C$2:$C$630, 'STEP 4 - ESTIMATE'!C218, 'STEP 4 - ESTIMATE'!$I$2:$I$630)</f>
        <v>0</v>
      </c>
    </row>
    <row r="179" spans="1:8">
      <c r="A179" s="4" t="s">
        <v>1098</v>
      </c>
      <c r="B179" s="5" t="s">
        <v>936</v>
      </c>
      <c r="C179" s="4" t="s">
        <v>568</v>
      </c>
      <c r="E179" s="4">
        <v>1</v>
      </c>
      <c r="F179" s="4" t="s">
        <v>229</v>
      </c>
      <c r="H179" s="138">
        <f>SUMIF('STEP 4 - ESTIMATE'!$C$2:$C$630, 'STEP 4 - ESTIMATE'!C222, 'STEP 4 - ESTIMATE'!$I$2:$I$630)</f>
        <v>0</v>
      </c>
    </row>
    <row r="180" spans="1:8">
      <c r="A180" s="4" t="s">
        <v>1099</v>
      </c>
      <c r="B180" s="5" t="s">
        <v>936</v>
      </c>
      <c r="C180" s="4" t="s">
        <v>569</v>
      </c>
      <c r="E180" s="4">
        <v>1</v>
      </c>
      <c r="F180" s="4" t="s">
        <v>229</v>
      </c>
      <c r="H180" s="138">
        <f>SUMIF('STEP 4 - ESTIMATE'!$C$2:$C$630, 'STEP 4 - ESTIMATE'!C223, 'STEP 4 - ESTIMATE'!$I$2:$I$630)</f>
        <v>0</v>
      </c>
    </row>
    <row r="181" spans="1:8">
      <c r="A181" s="4" t="s">
        <v>1100</v>
      </c>
      <c r="B181" s="5" t="s">
        <v>936</v>
      </c>
      <c r="C181" s="4" t="s">
        <v>571</v>
      </c>
      <c r="E181" s="4">
        <v>1</v>
      </c>
      <c r="F181" s="4" t="s">
        <v>229</v>
      </c>
      <c r="H181" s="138">
        <f>SUMIF('STEP 4 - ESTIMATE'!$C$2:$C$630, 'STEP 4 - ESTIMATE'!C224, 'STEP 4 - ESTIMATE'!$I$2:$I$630)</f>
        <v>0</v>
      </c>
    </row>
    <row r="182" spans="1:8">
      <c r="A182" s="4" t="s">
        <v>1101</v>
      </c>
      <c r="B182" s="5" t="s">
        <v>936</v>
      </c>
      <c r="C182" s="4" t="s">
        <v>1102</v>
      </c>
      <c r="E182" s="4">
        <v>1</v>
      </c>
      <c r="F182" s="4" t="s">
        <v>229</v>
      </c>
      <c r="H182" s="138">
        <f>SUMIF('STEP 4 - ESTIMATE'!$C$2:$C$630, 'STEP 4 - ESTIMATE'!C225, 'STEP 4 - ESTIMATE'!$I$2:$I$630)</f>
        <v>0</v>
      </c>
    </row>
    <row r="183" spans="1:8">
      <c r="A183" s="4" t="s">
        <v>1103</v>
      </c>
      <c r="B183" s="5" t="s">
        <v>936</v>
      </c>
      <c r="C183" s="4" t="s">
        <v>1104</v>
      </c>
      <c r="E183" s="4">
        <v>1</v>
      </c>
      <c r="F183" s="4" t="s">
        <v>229</v>
      </c>
      <c r="H183" s="138">
        <f>SUMIF('STEP 4 - ESTIMATE'!$C$2:$C$630, 'STEP 4 - ESTIMATE'!C229, 'STEP 4 - ESTIMATE'!$I$2:$I$630)</f>
        <v>0</v>
      </c>
    </row>
    <row r="184" spans="1:8">
      <c r="A184" s="4" t="s">
        <v>1105</v>
      </c>
      <c r="B184" s="5" t="s">
        <v>936</v>
      </c>
      <c r="C184" s="4" t="s">
        <v>578</v>
      </c>
      <c r="E184" s="4">
        <v>1</v>
      </c>
      <c r="F184" s="4" t="s">
        <v>229</v>
      </c>
      <c r="H184" s="138">
        <f>SUMIF('STEP 4 - ESTIMATE'!$C$2:$C$630, 'STEP 4 - ESTIMATE'!C234, 'STEP 4 - ESTIMATE'!$I$2:$I$630)</f>
        <v>0</v>
      </c>
    </row>
    <row r="185" spans="1:8">
      <c r="A185" s="4" t="s">
        <v>1106</v>
      </c>
      <c r="B185" s="5" t="s">
        <v>936</v>
      </c>
      <c r="C185" s="4" t="s">
        <v>1107</v>
      </c>
      <c r="E185" s="4">
        <v>1</v>
      </c>
      <c r="F185" s="4" t="s">
        <v>229</v>
      </c>
      <c r="H185" s="138">
        <f>SUMIF('STEP 4 - ESTIMATE'!$C$2:$C$630, 'STEP 4 - ESTIMATE'!C241, 'STEP 4 - ESTIMATE'!$I$2:$I$630)</f>
        <v>0</v>
      </c>
    </row>
    <row r="186" spans="1:8">
      <c r="A186" s="4" t="s">
        <v>1108</v>
      </c>
      <c r="B186" s="5" t="s">
        <v>936</v>
      </c>
      <c r="C186" s="4" t="s">
        <v>585</v>
      </c>
      <c r="E186" s="4">
        <v>1</v>
      </c>
      <c r="F186" s="4" t="s">
        <v>229</v>
      </c>
      <c r="H186" s="138">
        <f>SUMIF('STEP 4 - ESTIMATE'!$C$2:$C$630, 'STEP 4 - ESTIMATE'!C245, 'STEP 4 - ESTIMATE'!$I$2:$I$630)</f>
        <v>0</v>
      </c>
    </row>
    <row r="187" spans="1:8">
      <c r="A187" s="4" t="s">
        <v>1109</v>
      </c>
      <c r="B187" s="5" t="s">
        <v>936</v>
      </c>
      <c r="C187" s="4" t="s">
        <v>591</v>
      </c>
      <c r="E187" s="4">
        <v>1</v>
      </c>
      <c r="F187" s="4" t="s">
        <v>229</v>
      </c>
      <c r="H187" s="138">
        <f>SUMIF('STEP 4 - ESTIMATE'!$C$2:$C$630, 'STEP 4 - ESTIMATE'!C253, 'STEP 4 - ESTIMATE'!$I$2:$I$630)</f>
        <v>0</v>
      </c>
    </row>
    <row r="188" spans="1:8">
      <c r="A188" s="4" t="s">
        <v>1110</v>
      </c>
      <c r="B188" s="5" t="s">
        <v>936</v>
      </c>
      <c r="C188" s="4" t="s">
        <v>1111</v>
      </c>
      <c r="E188" s="4">
        <v>1</v>
      </c>
      <c r="F188" s="4" t="s">
        <v>229</v>
      </c>
      <c r="H188" s="138">
        <f>SUMIF('STEP 4 - ESTIMATE'!$C$2:$C$630, 'STEP 4 - ESTIMATE'!C254, 'STEP 4 - ESTIMATE'!$I$2:$I$630)</f>
        <v>0</v>
      </c>
    </row>
    <row r="189" spans="1:8">
      <c r="A189" s="4" t="s">
        <v>1112</v>
      </c>
      <c r="B189" s="5" t="s">
        <v>936</v>
      </c>
      <c r="C189" s="4" t="s">
        <v>594</v>
      </c>
      <c r="E189" s="4">
        <v>1</v>
      </c>
      <c r="F189" s="4" t="s">
        <v>229</v>
      </c>
      <c r="H189" s="138">
        <f>SUMIF('STEP 4 - ESTIMATE'!$C$2:$C$630, 'STEP 4 - ESTIMATE'!C258, 'STEP 4 - ESTIMATE'!$I$2:$I$630)</f>
        <v>0</v>
      </c>
    </row>
    <row r="190" spans="1:8">
      <c r="A190" s="4" t="s">
        <v>1113</v>
      </c>
      <c r="B190" s="5" t="s">
        <v>936</v>
      </c>
      <c r="C190" s="4" t="s">
        <v>595</v>
      </c>
      <c r="E190" s="4">
        <v>1</v>
      </c>
      <c r="F190" s="4" t="s">
        <v>229</v>
      </c>
      <c r="H190" s="138">
        <f>SUMIF('STEP 4 - ESTIMATE'!$C$2:$C$630, 'STEP 4 - ESTIMATE'!C259, 'STEP 4 - ESTIMATE'!$I$2:$I$630)</f>
        <v>0</v>
      </c>
    </row>
    <row r="191" spans="1:8">
      <c r="A191" s="4" t="s">
        <v>1114</v>
      </c>
      <c r="B191" s="5" t="s">
        <v>936</v>
      </c>
      <c r="C191" s="4" t="s">
        <v>1115</v>
      </c>
      <c r="E191" s="4">
        <v>1</v>
      </c>
      <c r="F191" s="4" t="s">
        <v>229</v>
      </c>
      <c r="H191" s="138">
        <f>SUMIF('STEP 4 - ESTIMATE'!$C$2:$C$630, 'STEP 4 - ESTIMATE'!C260, 'STEP 4 - ESTIMATE'!$I$2:$I$630)</f>
        <v>0</v>
      </c>
    </row>
    <row r="192" spans="1:8">
      <c r="A192" s="4" t="s">
        <v>1116</v>
      </c>
      <c r="B192" s="5" t="s">
        <v>936</v>
      </c>
      <c r="C192" s="4" t="s">
        <v>597</v>
      </c>
      <c r="E192" s="4">
        <v>1</v>
      </c>
      <c r="F192" s="4" t="s">
        <v>229</v>
      </c>
      <c r="H192" s="138">
        <f>SUMIF('STEP 4 - ESTIMATE'!$C$2:$C$630, 'STEP 4 - ESTIMATE'!C261, 'STEP 4 - ESTIMATE'!$I$2:$I$630)</f>
        <v>0</v>
      </c>
    </row>
    <row r="193" spans="1:8">
      <c r="A193" s="4" t="s">
        <v>1117</v>
      </c>
      <c r="B193" s="5" t="s">
        <v>936</v>
      </c>
      <c r="C193" s="4" t="s">
        <v>599</v>
      </c>
      <c r="E193" s="4">
        <v>1</v>
      </c>
      <c r="F193" s="4" t="s">
        <v>229</v>
      </c>
      <c r="H193" s="138">
        <f>SUMIF('STEP 4 - ESTIMATE'!$C$2:$C$630, 'STEP 4 - ESTIMATE'!C265, 'STEP 4 - ESTIMATE'!$I$2:$I$630)</f>
        <v>0</v>
      </c>
    </row>
    <row r="194" spans="1:8">
      <c r="A194" s="4" t="s">
        <v>1118</v>
      </c>
      <c r="B194" s="5" t="s">
        <v>936</v>
      </c>
      <c r="C194" s="4" t="s">
        <v>600</v>
      </c>
      <c r="E194" s="4">
        <v>1</v>
      </c>
      <c r="F194" s="4" t="s">
        <v>229</v>
      </c>
      <c r="H194" s="138">
        <f>SUMIF('STEP 4 - ESTIMATE'!$C$2:$C$630, 'STEP 4 - ESTIMATE'!C266, 'STEP 4 - ESTIMATE'!$I$2:$I$630)</f>
        <v>0</v>
      </c>
    </row>
    <row r="195" spans="1:8">
      <c r="A195" s="4" t="s">
        <v>1119</v>
      </c>
      <c r="B195" s="5" t="s">
        <v>936</v>
      </c>
      <c r="C195" s="4" t="s">
        <v>601</v>
      </c>
      <c r="E195" s="4">
        <v>1</v>
      </c>
      <c r="F195" s="4" t="s">
        <v>229</v>
      </c>
      <c r="H195" s="138">
        <f>SUMIF('STEP 4 - ESTIMATE'!$C$2:$C$630, 'STEP 4 - ESTIMATE'!C267, 'STEP 4 - ESTIMATE'!$I$2:$I$630)</f>
        <v>0</v>
      </c>
    </row>
    <row r="196" spans="1:8">
      <c r="A196" s="4" t="s">
        <v>1120</v>
      </c>
      <c r="B196" s="5" t="s">
        <v>936</v>
      </c>
      <c r="C196" s="4" t="s">
        <v>602</v>
      </c>
      <c r="E196" s="4">
        <v>1</v>
      </c>
      <c r="F196" s="4" t="s">
        <v>229</v>
      </c>
      <c r="H196" s="138">
        <f>SUMIF('STEP 4 - ESTIMATE'!$C$2:$C$630, 'STEP 4 - ESTIMATE'!C268, 'STEP 4 - ESTIMATE'!$I$2:$I$630)</f>
        <v>0</v>
      </c>
    </row>
    <row r="197" spans="1:8">
      <c r="A197" s="4" t="s">
        <v>1121</v>
      </c>
      <c r="B197" s="5" t="s">
        <v>936</v>
      </c>
      <c r="C197" s="4" t="s">
        <v>1122</v>
      </c>
      <c r="E197" s="4">
        <v>1</v>
      </c>
      <c r="F197" s="4" t="s">
        <v>229</v>
      </c>
      <c r="H197" s="138">
        <f>SUMIF('STEP 4 - ESTIMATE'!$C$2:$C$630, 'STEP 4 - ESTIMATE'!C269, 'STEP 4 - ESTIMATE'!$I$2:$I$630)</f>
        <v>0</v>
      </c>
    </row>
    <row r="198" spans="1:8">
      <c r="A198" s="4" t="s">
        <v>1123</v>
      </c>
      <c r="B198" s="5" t="s">
        <v>936</v>
      </c>
      <c r="C198" s="4" t="s">
        <v>605</v>
      </c>
      <c r="E198" s="4">
        <v>1</v>
      </c>
      <c r="F198" s="4" t="s">
        <v>229</v>
      </c>
      <c r="H198" s="138">
        <f>SUMIF('STEP 4 - ESTIMATE'!$C$2:$C$630, 'STEP 4 - ESTIMATE'!C273, 'STEP 4 - ESTIMATE'!$I$2:$I$630)</f>
        <v>0</v>
      </c>
    </row>
    <row r="199" spans="1:8">
      <c r="A199" s="4" t="s">
        <v>1124</v>
      </c>
      <c r="B199" s="5" t="s">
        <v>936</v>
      </c>
      <c r="C199" s="4" t="s">
        <v>608</v>
      </c>
      <c r="E199" s="4">
        <v>1</v>
      </c>
      <c r="F199" s="4" t="s">
        <v>229</v>
      </c>
      <c r="H199" s="138">
        <f>SUMIF('STEP 4 - ESTIMATE'!$C$2:$C$630, 'STEP 4 - ESTIMATE'!C276, 'STEP 4 - ESTIMATE'!$I$2:$I$630)</f>
        <v>0</v>
      </c>
    </row>
    <row r="200" spans="1:8">
      <c r="A200" s="4" t="s">
        <v>1125</v>
      </c>
      <c r="B200" s="5" t="s">
        <v>936</v>
      </c>
      <c r="C200" s="4" t="s">
        <v>609</v>
      </c>
      <c r="E200" s="4">
        <v>1</v>
      </c>
      <c r="F200" s="4" t="s">
        <v>229</v>
      </c>
      <c r="H200" s="138">
        <f>SUMIF('STEP 4 - ESTIMATE'!$C$2:$C$630, 'STEP 4 - ESTIMATE'!C277, 'STEP 4 - ESTIMATE'!$I$2:$I$630)</f>
        <v>0</v>
      </c>
    </row>
    <row r="201" spans="1:8">
      <c r="A201" s="4" t="s">
        <v>1126</v>
      </c>
      <c r="B201" s="5" t="s">
        <v>936</v>
      </c>
      <c r="C201" s="4" t="s">
        <v>610</v>
      </c>
      <c r="E201" s="4">
        <v>1</v>
      </c>
      <c r="F201" s="4" t="s">
        <v>229</v>
      </c>
      <c r="H201" s="138">
        <f>SUMIF('STEP 4 - ESTIMATE'!$C$2:$C$630, 'STEP 4 - ESTIMATE'!C278, 'STEP 4 - ESTIMATE'!$I$2:$I$630)</f>
        <v>0</v>
      </c>
    </row>
    <row r="202" spans="1:8">
      <c r="A202" s="4" t="s">
        <v>1127</v>
      </c>
      <c r="B202" s="5" t="s">
        <v>936</v>
      </c>
      <c r="C202" s="4" t="s">
        <v>611</v>
      </c>
      <c r="E202" s="4">
        <v>1</v>
      </c>
      <c r="F202" s="4" t="s">
        <v>229</v>
      </c>
      <c r="H202" s="138">
        <f>SUMIF('STEP 4 - ESTIMATE'!$C$2:$C$630, 'STEP 4 - ESTIMATE'!C279, 'STEP 4 - ESTIMATE'!$I$2:$I$630)</f>
        <v>0</v>
      </c>
    </row>
    <row r="203" spans="1:8">
      <c r="A203" s="4" t="s">
        <v>1128</v>
      </c>
      <c r="B203" s="5" t="s">
        <v>936</v>
      </c>
      <c r="C203" s="4" t="s">
        <v>612</v>
      </c>
      <c r="E203" s="4">
        <v>1</v>
      </c>
      <c r="F203" s="4" t="s">
        <v>229</v>
      </c>
      <c r="H203" s="138">
        <f>SUMIF('STEP 4 - ESTIMATE'!$C$2:$C$630, 'STEP 4 - ESTIMATE'!C280, 'STEP 4 - ESTIMATE'!$I$2:$I$630)</f>
        <v>0</v>
      </c>
    </row>
    <row r="204" spans="1:8">
      <c r="A204" s="4" t="s">
        <v>1129</v>
      </c>
      <c r="B204" s="5" t="s">
        <v>936</v>
      </c>
      <c r="C204" s="4" t="s">
        <v>618</v>
      </c>
      <c r="E204" s="4">
        <v>1</v>
      </c>
      <c r="F204" s="4" t="s">
        <v>229</v>
      </c>
      <c r="H204" s="138">
        <f>SUMIF('STEP 4 - ESTIMATE'!$C$2:$C$630, 'STEP 4 - ESTIMATE'!C286, 'STEP 4 - ESTIMATE'!$I$2:$I$630)</f>
        <v>0</v>
      </c>
    </row>
    <row r="205" spans="1:8">
      <c r="A205" s="4" t="s">
        <v>1130</v>
      </c>
      <c r="B205" s="5" t="s">
        <v>936</v>
      </c>
      <c r="C205" s="4" t="s">
        <v>619</v>
      </c>
      <c r="E205" s="4">
        <v>1</v>
      </c>
      <c r="F205" s="4" t="s">
        <v>229</v>
      </c>
      <c r="H205" s="138">
        <f>SUMIF('STEP 4 - ESTIMATE'!$C$2:$C$630, 'STEP 4 - ESTIMATE'!C287, 'STEP 4 - ESTIMATE'!$I$2:$I$630)</f>
        <v>0</v>
      </c>
    </row>
    <row r="206" spans="1:8">
      <c r="A206" s="4" t="s">
        <v>1131</v>
      </c>
      <c r="B206" s="5" t="s">
        <v>936</v>
      </c>
      <c r="C206" s="4" t="s">
        <v>620</v>
      </c>
      <c r="E206" s="4">
        <v>1</v>
      </c>
      <c r="F206" s="4" t="s">
        <v>229</v>
      </c>
      <c r="H206" s="138">
        <f>SUMIF('STEP 4 - ESTIMATE'!$C$2:$C$630, 'STEP 4 - ESTIMATE'!C288, 'STEP 4 - ESTIMATE'!$I$2:$I$630)</f>
        <v>0</v>
      </c>
    </row>
    <row r="207" spans="1:8">
      <c r="A207" s="4" t="s">
        <v>1132</v>
      </c>
      <c r="B207" s="5" t="s">
        <v>936</v>
      </c>
      <c r="C207" s="4" t="s">
        <v>621</v>
      </c>
      <c r="E207" s="4">
        <v>1</v>
      </c>
      <c r="F207" s="4" t="s">
        <v>229</v>
      </c>
      <c r="H207" s="138">
        <f>SUMIF('STEP 4 - ESTIMATE'!$C$2:$C$630, 'STEP 4 - ESTIMATE'!C289, 'STEP 4 - ESTIMATE'!$I$2:$I$630)</f>
        <v>0</v>
      </c>
    </row>
    <row r="208" spans="1:8">
      <c r="A208" s="4" t="s">
        <v>1133</v>
      </c>
      <c r="B208" s="5" t="s">
        <v>936</v>
      </c>
      <c r="C208" s="4" t="s">
        <v>1134</v>
      </c>
      <c r="E208" s="4">
        <v>1</v>
      </c>
      <c r="F208" s="4" t="s">
        <v>229</v>
      </c>
      <c r="H208" s="138">
        <f>SUMIF('STEP 4 - ESTIMATE'!$C$2:$C$630, 'STEP 4 - ESTIMATE'!C290, 'STEP 4 - ESTIMATE'!$I$2:$I$630)</f>
        <v>0</v>
      </c>
    </row>
    <row r="209" spans="1:8">
      <c r="A209" s="4" t="s">
        <v>1135</v>
      </c>
      <c r="B209" s="5" t="s">
        <v>936</v>
      </c>
      <c r="C209" s="4" t="s">
        <v>624</v>
      </c>
      <c r="E209" s="4">
        <v>1</v>
      </c>
      <c r="F209" s="4" t="s">
        <v>229</v>
      </c>
      <c r="H209" s="138">
        <f>SUMIF('STEP 4 - ESTIMATE'!$C$2:$C$630, 'STEP 4 - ESTIMATE'!C294, 'STEP 4 - ESTIMATE'!$I$2:$I$630)</f>
        <v>0</v>
      </c>
    </row>
    <row r="210" spans="1:8">
      <c r="A210" s="4" t="s">
        <v>1136</v>
      </c>
      <c r="B210" s="5" t="s">
        <v>179</v>
      </c>
      <c r="C210" s="4" t="s">
        <v>636</v>
      </c>
      <c r="E210" s="4">
        <v>1</v>
      </c>
      <c r="F210" s="4" t="s">
        <v>229</v>
      </c>
      <c r="H210" s="138">
        <f>SUMIF('STEP 4 - ESTIMATE'!$C$2:$C$630, 'STEP 4 - ESTIMATE'!C307, 'STEP 4 - ESTIMATE'!$I$2:$I$630)</f>
        <v>0</v>
      </c>
    </row>
    <row r="211" spans="1:8">
      <c r="A211" s="4" t="s">
        <v>1137</v>
      </c>
      <c r="B211" s="5" t="s">
        <v>179</v>
      </c>
      <c r="C211" s="4" t="s">
        <v>78</v>
      </c>
      <c r="E211" s="4">
        <v>1</v>
      </c>
      <c r="F211" s="4" t="s">
        <v>229</v>
      </c>
      <c r="H211" s="138">
        <f>SUMIF('STEP 4 - ESTIMATE'!$C$2:$C$630, 'STEP 4 - ESTIMATE'!C333, 'STEP 4 - ESTIMATE'!$I$2:$I$630)</f>
        <v>0</v>
      </c>
    </row>
    <row r="212" spans="1:8">
      <c r="A212" s="4" t="s">
        <v>1138</v>
      </c>
      <c r="B212" s="5" t="s">
        <v>179</v>
      </c>
      <c r="C212" s="4" t="s">
        <v>79</v>
      </c>
      <c r="E212" s="4">
        <v>1</v>
      </c>
      <c r="F212" s="4" t="s">
        <v>229</v>
      </c>
      <c r="H212" s="138">
        <f>SUMIF('STEP 4 - ESTIMATE'!$C$2:$C$630, 'STEP 4 - ESTIMATE'!C334, 'STEP 4 - ESTIMATE'!$I$2:$I$630)</f>
        <v>0</v>
      </c>
    </row>
    <row r="213" spans="1:8">
      <c r="A213" s="4" t="s">
        <v>1139</v>
      </c>
      <c r="B213" s="5" t="s">
        <v>179</v>
      </c>
      <c r="C213" s="4" t="s">
        <v>80</v>
      </c>
      <c r="E213" s="4">
        <v>1</v>
      </c>
      <c r="F213" s="4" t="s">
        <v>229</v>
      </c>
      <c r="H213" s="138">
        <f>SUMIF('STEP 4 - ESTIMATE'!$C$2:$C$630, 'STEP 4 - ESTIMATE'!C335, 'STEP 4 - ESTIMATE'!$I$2:$I$630)</f>
        <v>0</v>
      </c>
    </row>
    <row r="214" spans="1:8">
      <c r="A214" s="4" t="s">
        <v>1140</v>
      </c>
      <c r="B214" s="5" t="s">
        <v>179</v>
      </c>
      <c r="C214" s="4" t="s">
        <v>83</v>
      </c>
      <c r="E214" s="4">
        <v>1</v>
      </c>
      <c r="F214" s="4" t="s">
        <v>229</v>
      </c>
      <c r="H214" s="138">
        <f>SUMIF('STEP 4 - ESTIMATE'!$C$2:$C$630, 'STEP 4 - ESTIMATE'!C336, 'STEP 4 - ESTIMATE'!$I$2:$I$630)</f>
        <v>0</v>
      </c>
    </row>
    <row r="215" spans="1:8">
      <c r="A215" s="4" t="s">
        <v>1141</v>
      </c>
      <c r="B215" s="5" t="s">
        <v>179</v>
      </c>
      <c r="C215" s="4" t="s">
        <v>85</v>
      </c>
      <c r="E215" s="4">
        <v>1</v>
      </c>
      <c r="F215" s="4" t="s">
        <v>229</v>
      </c>
      <c r="H215" s="138">
        <f>SUMIF('STEP 4 - ESTIMATE'!$C$2:$C$630, 'STEP 4 - ESTIMATE'!C337, 'STEP 4 - ESTIMATE'!$I$2:$I$630)</f>
        <v>1107.4388127333334</v>
      </c>
    </row>
    <row r="216" spans="1:8">
      <c r="A216" s="4" t="s">
        <v>1142</v>
      </c>
      <c r="B216" s="5" t="s">
        <v>179</v>
      </c>
      <c r="C216" s="4" t="s">
        <v>86</v>
      </c>
      <c r="E216" s="4">
        <v>1</v>
      </c>
      <c r="F216" s="4" t="s">
        <v>229</v>
      </c>
      <c r="H216" s="138">
        <f>SUMIF('STEP 4 - ESTIMATE'!$C$2:$C$630, 'STEP 4 - ESTIMATE'!C338, 'STEP 4 - ESTIMATE'!$I$2:$I$630)</f>
        <v>0</v>
      </c>
    </row>
    <row r="217" spans="1:8">
      <c r="A217" s="4" t="s">
        <v>1143</v>
      </c>
      <c r="B217" s="5" t="s">
        <v>179</v>
      </c>
      <c r="C217" s="4" t="s">
        <v>87</v>
      </c>
      <c r="E217" s="4">
        <v>1</v>
      </c>
      <c r="F217" s="4" t="s">
        <v>229</v>
      </c>
      <c r="H217" s="138">
        <f>SUMIF('STEP 4 - ESTIMATE'!$C$2:$C$630, 'STEP 4 - ESTIMATE'!C339, 'STEP 4 - ESTIMATE'!$I$2:$I$630)</f>
        <v>5537.1940636666668</v>
      </c>
    </row>
    <row r="218" spans="1:8">
      <c r="A218" s="4" t="s">
        <v>1144</v>
      </c>
      <c r="B218" s="5" t="s">
        <v>179</v>
      </c>
      <c r="C218" s="4" t="s">
        <v>1145</v>
      </c>
      <c r="E218" s="4">
        <v>1</v>
      </c>
      <c r="F218" s="4" t="s">
        <v>229</v>
      </c>
      <c r="H218" s="138">
        <f>SUMIF('STEP 4 - ESTIMATE'!$C$2:$C$630, 'STEP 4 - ESTIMATE'!C318, 'STEP 4 - ESTIMATE'!$I$2:$I$630)</f>
        <v>0</v>
      </c>
    </row>
  </sheetData>
  <autoFilter ref="A1:K218" xr:uid="{DF98E8B0-256D-43BD-BCF2-D464DC488F1C}"/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xWindow="185" yWindow="832" count="4">
        <x14:dataValidation type="list" allowBlank="1" showInputMessage="1" showErrorMessage="1" error="Please use the dropdown selector to choose a unit of measure" prompt="Choose the value from the dropdown" xr:uid="{56CD85E2-175C-4CF4-ABA7-60A9A9E8D531}">
          <x14:formula1>
            <xm:f>'Importer Data Fields'!$G$2:$G$3</xm:f>
          </x14:formula1>
          <xm:sqref>D2:D1048576</xm:sqref>
        </x14:dataValidation>
        <x14:dataValidation type="list" allowBlank="1" showInputMessage="1" showErrorMessage="1" error="Please use the dropdown selector to choose a unit of measure" prompt="Choose the value from the dropdown" xr:uid="{8A6FC7F4-ED7B-4240-818F-AC83415BCE9A}">
          <x14:formula1>
            <xm:f>'Importer Data Fields'!$E$2:$E$20</xm:f>
          </x14:formula1>
          <xm:sqref>F2:F1048576</xm:sqref>
        </x14:dataValidation>
        <x14:dataValidation type="list" allowBlank="1" showInputMessage="1" showErrorMessage="1" error="Please use the dropdown selector to choose a valid segment" prompt="Choose the value from the dropdown" xr:uid="{799CD351-8495-4F63-B532-9090A0839345}">
          <x14:formula1>
            <xm:f>'Importer Data Fields'!$C$2:$C$10</xm:f>
          </x14:formula1>
          <xm:sqref>B2:B1048576</xm:sqref>
        </x14:dataValidation>
        <x14:dataValidation type="list" allowBlank="1" showInputMessage="1" showErrorMessage="1" error="Please use the dropdown selector to choose a valid segment" prompt="Choose the value from the dropdown" xr:uid="{6017A76F-B388-4762-9B19-DAD46DD5270B}">
          <x14:formula1>
            <xm:f>'Importer Data Fields'!$A$2:$A$225</xm:f>
          </x14:formula1>
          <xm:sqref>A2:A1048576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84D4F-CBFB-4B0D-9A1E-060FD3993533}">
  <sheetPr codeName="Sheet20"/>
  <dimension ref="A1:G225"/>
  <sheetViews>
    <sheetView showWhiteSpace="0" topLeftCell="A85" workbookViewId="0">
      <selection activeCell="D7" sqref="D7"/>
    </sheetView>
  </sheetViews>
  <sheetFormatPr defaultColWidth="9.140625" defaultRowHeight="14.25"/>
  <cols>
    <col min="1" max="1" width="20.140625" style="4" bestFit="1" customWidth="1"/>
    <col min="2" max="2" width="47.7109375" style="4" bestFit="1" customWidth="1"/>
    <col min="3" max="3" width="22.5703125" style="4" bestFit="1" customWidth="1"/>
    <col min="4" max="4" width="30.140625" style="4" bestFit="1" customWidth="1"/>
    <col min="5" max="7" width="12.5703125" style="4" bestFit="1" customWidth="1"/>
    <col min="8" max="16384" width="9.140625" style="4"/>
  </cols>
  <sheetData>
    <row r="1" spans="1:7">
      <c r="A1" s="4" t="s">
        <v>882</v>
      </c>
      <c r="B1" s="4" t="s">
        <v>1146</v>
      </c>
      <c r="C1" s="4" t="s">
        <v>883</v>
      </c>
      <c r="D1" s="4" t="s">
        <v>1147</v>
      </c>
      <c r="E1" s="4" t="s">
        <v>1148</v>
      </c>
      <c r="F1" s="4" t="s">
        <v>1149</v>
      </c>
      <c r="G1" s="4" t="s">
        <v>1150</v>
      </c>
    </row>
    <row r="2" spans="1:7">
      <c r="A2" s="4" t="s">
        <v>892</v>
      </c>
      <c r="B2" s="4" t="s">
        <v>404</v>
      </c>
      <c r="C2" s="4" t="s">
        <v>1062</v>
      </c>
      <c r="D2" s="4" t="s">
        <v>1062</v>
      </c>
      <c r="E2" s="4" t="s">
        <v>1151</v>
      </c>
      <c r="F2" s="4" t="s">
        <v>144</v>
      </c>
      <c r="G2" s="4" t="s">
        <v>1152</v>
      </c>
    </row>
    <row r="3" spans="1:7">
      <c r="A3" s="4" t="s">
        <v>893</v>
      </c>
      <c r="B3" s="4" t="s">
        <v>228</v>
      </c>
      <c r="C3" s="4" t="s">
        <v>903</v>
      </c>
      <c r="D3" s="4" t="s">
        <v>903</v>
      </c>
      <c r="E3" s="4" t="s">
        <v>1153</v>
      </c>
      <c r="F3" s="4" t="s">
        <v>229</v>
      </c>
      <c r="G3" s="4" t="s">
        <v>1154</v>
      </c>
    </row>
    <row r="4" spans="1:7">
      <c r="A4" s="4" t="s">
        <v>894</v>
      </c>
      <c r="B4" s="4" t="s">
        <v>231</v>
      </c>
      <c r="C4" s="4" t="s">
        <v>179</v>
      </c>
      <c r="D4" s="4" t="s">
        <v>179</v>
      </c>
      <c r="E4" s="4" t="s">
        <v>1155</v>
      </c>
      <c r="F4" s="4" t="s">
        <v>141</v>
      </c>
    </row>
    <row r="5" spans="1:7">
      <c r="A5" s="4" t="s">
        <v>895</v>
      </c>
      <c r="B5" s="4" t="s">
        <v>233</v>
      </c>
      <c r="C5" s="4" t="s">
        <v>1156</v>
      </c>
      <c r="D5" s="4" t="s">
        <v>1156</v>
      </c>
      <c r="E5" s="4" t="s">
        <v>1157</v>
      </c>
      <c r="F5" s="4" t="s">
        <v>1158</v>
      </c>
    </row>
    <row r="6" spans="1:7">
      <c r="A6" s="4" t="s">
        <v>896</v>
      </c>
      <c r="B6" s="4" t="s">
        <v>235</v>
      </c>
      <c r="C6" s="4" t="s">
        <v>936</v>
      </c>
      <c r="D6" s="4" t="s">
        <v>936</v>
      </c>
      <c r="E6" s="4" t="s">
        <v>1159</v>
      </c>
      <c r="F6" s="4" t="s">
        <v>1160</v>
      </c>
    </row>
    <row r="7" spans="1:7">
      <c r="A7" s="4" t="s">
        <v>897</v>
      </c>
      <c r="B7" s="4" t="s">
        <v>237</v>
      </c>
      <c r="C7" s="4" t="s">
        <v>1161</v>
      </c>
      <c r="D7" s="4" t="s">
        <v>1161</v>
      </c>
      <c r="E7" s="4" t="s">
        <v>144</v>
      </c>
      <c r="F7" s="4" t="s">
        <v>1162</v>
      </c>
    </row>
    <row r="8" spans="1:7">
      <c r="A8" s="4" t="s">
        <v>898</v>
      </c>
      <c r="B8" s="4" t="s">
        <v>647</v>
      </c>
      <c r="C8" s="4" t="s">
        <v>1163</v>
      </c>
      <c r="D8" s="4" t="s">
        <v>1163</v>
      </c>
      <c r="E8" s="4" t="s">
        <v>229</v>
      </c>
      <c r="F8" s="4" t="s">
        <v>146</v>
      </c>
    </row>
    <row r="9" spans="1:7">
      <c r="A9" s="4" t="s">
        <v>899</v>
      </c>
      <c r="B9" s="4" t="s">
        <v>648</v>
      </c>
      <c r="C9" s="4" t="s">
        <v>1164</v>
      </c>
      <c r="D9" s="4" t="s">
        <v>1164</v>
      </c>
      <c r="E9" s="4" t="s">
        <v>141</v>
      </c>
      <c r="F9" s="4" t="s">
        <v>515</v>
      </c>
    </row>
    <row r="10" spans="1:7">
      <c r="A10" s="4" t="s">
        <v>900</v>
      </c>
      <c r="B10" s="4" t="s">
        <v>901</v>
      </c>
      <c r="C10" s="4" t="s">
        <v>1165</v>
      </c>
      <c r="D10" s="4" t="s">
        <v>1165</v>
      </c>
      <c r="E10" s="4" t="s">
        <v>1158</v>
      </c>
      <c r="F10" s="4" t="s">
        <v>417</v>
      </c>
    </row>
    <row r="11" spans="1:7">
      <c r="A11" s="4" t="s">
        <v>902</v>
      </c>
      <c r="B11" s="4" t="s">
        <v>241</v>
      </c>
      <c r="E11" s="4" t="s">
        <v>1160</v>
      </c>
      <c r="F11" s="4" t="s">
        <v>1166</v>
      </c>
    </row>
    <row r="12" spans="1:7">
      <c r="A12" s="4" t="s">
        <v>904</v>
      </c>
      <c r="B12" s="4" t="s">
        <v>243</v>
      </c>
      <c r="E12" s="4" t="s">
        <v>1162</v>
      </c>
      <c r="F12" s="4" t="s">
        <v>1167</v>
      </c>
    </row>
    <row r="13" spans="1:7">
      <c r="A13" s="4" t="s">
        <v>905</v>
      </c>
      <c r="B13" s="4" t="s">
        <v>245</v>
      </c>
      <c r="E13" s="4" t="s">
        <v>146</v>
      </c>
      <c r="F13" s="4" t="s">
        <v>1168</v>
      </c>
    </row>
    <row r="14" spans="1:7">
      <c r="A14" s="4" t="s">
        <v>906</v>
      </c>
      <c r="B14" s="4" t="s">
        <v>247</v>
      </c>
      <c r="E14" s="4" t="s">
        <v>515</v>
      </c>
      <c r="F14" s="4" t="s">
        <v>1169</v>
      </c>
    </row>
    <row r="15" spans="1:7">
      <c r="A15" s="4" t="s">
        <v>907</v>
      </c>
      <c r="B15" s="4" t="s">
        <v>219</v>
      </c>
      <c r="E15" s="4" t="s">
        <v>417</v>
      </c>
      <c r="F15" s="4" t="s">
        <v>1170</v>
      </c>
    </row>
    <row r="16" spans="1:7">
      <c r="A16" s="4" t="s">
        <v>908</v>
      </c>
      <c r="B16" s="4" t="s">
        <v>222</v>
      </c>
      <c r="E16" s="4" t="s">
        <v>1166</v>
      </c>
    </row>
    <row r="17" spans="1:5">
      <c r="A17" s="4" t="s">
        <v>909</v>
      </c>
      <c r="B17" s="4" t="s">
        <v>224</v>
      </c>
      <c r="E17" s="4" t="s">
        <v>1167</v>
      </c>
    </row>
    <row r="18" spans="1:5">
      <c r="A18" s="4" t="s">
        <v>1171</v>
      </c>
      <c r="B18" s="4" t="s">
        <v>1172</v>
      </c>
      <c r="E18" s="4" t="s">
        <v>1168</v>
      </c>
    </row>
    <row r="19" spans="1:5">
      <c r="A19" s="4" t="s">
        <v>910</v>
      </c>
      <c r="B19" s="4" t="s">
        <v>249</v>
      </c>
      <c r="E19" s="4" t="s">
        <v>1169</v>
      </c>
    </row>
    <row r="20" spans="1:5">
      <c r="A20" s="4" t="s">
        <v>911</v>
      </c>
      <c r="B20" s="4" t="s">
        <v>912</v>
      </c>
      <c r="E20" s="4" t="s">
        <v>1170</v>
      </c>
    </row>
    <row r="21" spans="1:5">
      <c r="A21" s="4" t="s">
        <v>913</v>
      </c>
      <c r="B21" s="4" t="s">
        <v>257</v>
      </c>
    </row>
    <row r="22" spans="1:5">
      <c r="A22" s="4" t="s">
        <v>914</v>
      </c>
      <c r="B22" s="4" t="s">
        <v>260</v>
      </c>
    </row>
    <row r="23" spans="1:5">
      <c r="A23" s="4" t="s">
        <v>915</v>
      </c>
      <c r="B23" s="4" t="s">
        <v>262</v>
      </c>
    </row>
    <row r="24" spans="1:5">
      <c r="A24" s="4" t="s">
        <v>916</v>
      </c>
      <c r="B24" s="4" t="s">
        <v>264</v>
      </c>
    </row>
    <row r="25" spans="1:5">
      <c r="A25" s="4" t="s">
        <v>917</v>
      </c>
      <c r="B25" s="4" t="s">
        <v>267</v>
      </c>
    </row>
    <row r="26" spans="1:5">
      <c r="A26" s="4" t="s">
        <v>918</v>
      </c>
      <c r="B26" s="4" t="s">
        <v>919</v>
      </c>
    </row>
    <row r="27" spans="1:5">
      <c r="A27" s="4" t="s">
        <v>920</v>
      </c>
      <c r="B27" s="4" t="s">
        <v>272</v>
      </c>
    </row>
    <row r="28" spans="1:5">
      <c r="A28" s="4" t="s">
        <v>921</v>
      </c>
      <c r="B28" s="4" t="s">
        <v>274</v>
      </c>
    </row>
    <row r="29" spans="1:5">
      <c r="A29" s="4" t="s">
        <v>922</v>
      </c>
      <c r="B29" s="4" t="s">
        <v>276</v>
      </c>
    </row>
    <row r="30" spans="1:5">
      <c r="A30" s="4" t="s">
        <v>923</v>
      </c>
      <c r="B30" s="4" t="s">
        <v>278</v>
      </c>
    </row>
    <row r="31" spans="1:5">
      <c r="A31" s="4" t="s">
        <v>924</v>
      </c>
      <c r="B31" s="4" t="s">
        <v>280</v>
      </c>
    </row>
    <row r="32" spans="1:5">
      <c r="A32" s="4" t="s">
        <v>925</v>
      </c>
      <c r="B32" s="4" t="s">
        <v>282</v>
      </c>
    </row>
    <row r="33" spans="1:2">
      <c r="A33" s="4" t="s">
        <v>926</v>
      </c>
      <c r="B33" s="4" t="s">
        <v>284</v>
      </c>
    </row>
    <row r="34" spans="1:2">
      <c r="A34" s="4" t="s">
        <v>927</v>
      </c>
      <c r="B34" s="4" t="s">
        <v>286</v>
      </c>
    </row>
    <row r="35" spans="1:2">
      <c r="A35" s="4" t="s">
        <v>928</v>
      </c>
      <c r="B35" s="4" t="s">
        <v>288</v>
      </c>
    </row>
    <row r="36" spans="1:2">
      <c r="A36" s="4" t="s">
        <v>929</v>
      </c>
      <c r="B36" s="4" t="s">
        <v>290</v>
      </c>
    </row>
    <row r="37" spans="1:2">
      <c r="A37" s="4" t="s">
        <v>930</v>
      </c>
      <c r="B37" s="4" t="s">
        <v>292</v>
      </c>
    </row>
    <row r="38" spans="1:2">
      <c r="A38" s="4" t="s">
        <v>931</v>
      </c>
      <c r="B38" s="4" t="s">
        <v>294</v>
      </c>
    </row>
    <row r="39" spans="1:2">
      <c r="A39" s="4" t="s">
        <v>932</v>
      </c>
      <c r="B39" s="4" t="s">
        <v>296</v>
      </c>
    </row>
    <row r="40" spans="1:2">
      <c r="A40" s="4" t="s">
        <v>933</v>
      </c>
      <c r="B40" s="4" t="s">
        <v>298</v>
      </c>
    </row>
    <row r="41" spans="1:2">
      <c r="A41" s="4" t="s">
        <v>1173</v>
      </c>
      <c r="B41" s="4" t="s">
        <v>301</v>
      </c>
    </row>
    <row r="42" spans="1:2">
      <c r="A42" s="4" t="s">
        <v>934</v>
      </c>
      <c r="B42" s="4" t="s">
        <v>304</v>
      </c>
    </row>
    <row r="43" spans="1:2">
      <c r="A43" s="4" t="s">
        <v>935</v>
      </c>
      <c r="B43" s="4" t="s">
        <v>337</v>
      </c>
    </row>
    <row r="44" spans="1:2">
      <c r="A44" s="4" t="s">
        <v>937</v>
      </c>
      <c r="B44" s="4" t="s">
        <v>306</v>
      </c>
    </row>
    <row r="45" spans="1:2">
      <c r="A45" s="4" t="s">
        <v>938</v>
      </c>
      <c r="B45" s="4" t="s">
        <v>308</v>
      </c>
    </row>
    <row r="46" spans="1:2">
      <c r="A46" s="4" t="s">
        <v>939</v>
      </c>
      <c r="B46" s="4" t="s">
        <v>342</v>
      </c>
    </row>
    <row r="47" spans="1:2">
      <c r="A47" s="4" t="s">
        <v>940</v>
      </c>
      <c r="B47" s="4" t="s">
        <v>941</v>
      </c>
    </row>
    <row r="48" spans="1:2">
      <c r="A48" s="4" t="s">
        <v>942</v>
      </c>
      <c r="B48" s="4" t="s">
        <v>943</v>
      </c>
    </row>
    <row r="49" spans="1:2">
      <c r="A49" s="4" t="s">
        <v>944</v>
      </c>
      <c r="B49" s="4" t="s">
        <v>315</v>
      </c>
    </row>
    <row r="50" spans="1:2">
      <c r="A50" s="4" t="s">
        <v>945</v>
      </c>
      <c r="B50" s="4" t="s">
        <v>317</v>
      </c>
    </row>
    <row r="51" spans="1:2">
      <c r="A51" s="4" t="s">
        <v>946</v>
      </c>
      <c r="B51" s="4" t="s">
        <v>319</v>
      </c>
    </row>
    <row r="52" spans="1:2">
      <c r="A52" s="4" t="s">
        <v>947</v>
      </c>
      <c r="B52" s="4" t="s">
        <v>321</v>
      </c>
    </row>
    <row r="53" spans="1:2">
      <c r="A53" s="4" t="s">
        <v>948</v>
      </c>
      <c r="B53" s="4" t="s">
        <v>323</v>
      </c>
    </row>
    <row r="54" spans="1:2">
      <c r="A54" s="4" t="s">
        <v>949</v>
      </c>
      <c r="B54" s="4" t="s">
        <v>325</v>
      </c>
    </row>
    <row r="55" spans="1:2">
      <c r="A55" s="4" t="s">
        <v>950</v>
      </c>
      <c r="B55" s="4" t="s">
        <v>327</v>
      </c>
    </row>
    <row r="56" spans="1:2">
      <c r="A56" s="4" t="s">
        <v>951</v>
      </c>
      <c r="B56" s="4" t="s">
        <v>329</v>
      </c>
    </row>
    <row r="57" spans="1:2">
      <c r="A57" s="4" t="s">
        <v>952</v>
      </c>
      <c r="B57" s="4" t="s">
        <v>331</v>
      </c>
    </row>
    <row r="58" spans="1:2">
      <c r="A58" s="4" t="s">
        <v>953</v>
      </c>
      <c r="B58" s="4" t="s">
        <v>954</v>
      </c>
    </row>
    <row r="59" spans="1:2">
      <c r="A59" s="4" t="s">
        <v>955</v>
      </c>
      <c r="B59" s="4" t="s">
        <v>346</v>
      </c>
    </row>
    <row r="60" spans="1:2">
      <c r="A60" s="4" t="s">
        <v>956</v>
      </c>
      <c r="B60" s="4" t="s">
        <v>350</v>
      </c>
    </row>
    <row r="61" spans="1:2">
      <c r="A61" s="4" t="s">
        <v>957</v>
      </c>
      <c r="B61" s="4" t="s">
        <v>355</v>
      </c>
    </row>
    <row r="62" spans="1:2">
      <c r="A62" s="4" t="s">
        <v>958</v>
      </c>
      <c r="B62" s="4" t="s">
        <v>357</v>
      </c>
    </row>
    <row r="63" spans="1:2">
      <c r="A63" s="4" t="s">
        <v>959</v>
      </c>
      <c r="B63" s="4" t="s">
        <v>359</v>
      </c>
    </row>
    <row r="64" spans="1:2">
      <c r="A64" s="4" t="s">
        <v>960</v>
      </c>
      <c r="B64" s="4" t="s">
        <v>361</v>
      </c>
    </row>
    <row r="65" spans="1:2">
      <c r="A65" s="4" t="s">
        <v>961</v>
      </c>
      <c r="B65" s="4" t="s">
        <v>363</v>
      </c>
    </row>
    <row r="66" spans="1:2">
      <c r="A66" s="4" t="s">
        <v>962</v>
      </c>
      <c r="B66" s="4" t="s">
        <v>365</v>
      </c>
    </row>
    <row r="67" spans="1:2">
      <c r="A67" s="4" t="s">
        <v>963</v>
      </c>
      <c r="B67" s="4" t="s">
        <v>367</v>
      </c>
    </row>
    <row r="68" spans="1:2">
      <c r="A68" s="4" t="s">
        <v>964</v>
      </c>
      <c r="B68" s="4" t="s">
        <v>371</v>
      </c>
    </row>
    <row r="69" spans="1:2">
      <c r="A69" s="4" t="s">
        <v>1174</v>
      </c>
      <c r="B69" s="4" t="s">
        <v>572</v>
      </c>
    </row>
    <row r="70" spans="1:2">
      <c r="A70" s="4" t="s">
        <v>965</v>
      </c>
      <c r="B70" s="4" t="s">
        <v>373</v>
      </c>
    </row>
    <row r="71" spans="1:2">
      <c r="A71" s="4" t="s">
        <v>966</v>
      </c>
      <c r="B71" s="4" t="s">
        <v>375</v>
      </c>
    </row>
    <row r="72" spans="1:2">
      <c r="A72" s="4" t="s">
        <v>967</v>
      </c>
      <c r="B72" s="4" t="s">
        <v>377</v>
      </c>
    </row>
    <row r="73" spans="1:2">
      <c r="A73" s="4" t="s">
        <v>968</v>
      </c>
      <c r="B73" s="4" t="s">
        <v>379</v>
      </c>
    </row>
    <row r="74" spans="1:2">
      <c r="A74" s="4" t="s">
        <v>969</v>
      </c>
      <c r="B74" s="4" t="s">
        <v>381</v>
      </c>
    </row>
    <row r="75" spans="1:2">
      <c r="A75" s="4" t="s">
        <v>970</v>
      </c>
      <c r="B75" s="4" t="s">
        <v>971</v>
      </c>
    </row>
    <row r="76" spans="1:2">
      <c r="A76" s="4" t="s">
        <v>972</v>
      </c>
      <c r="B76" s="4" t="s">
        <v>387</v>
      </c>
    </row>
    <row r="77" spans="1:2">
      <c r="A77" s="4" t="s">
        <v>973</v>
      </c>
      <c r="B77" s="4" t="s">
        <v>389</v>
      </c>
    </row>
    <row r="78" spans="1:2">
      <c r="A78" s="4" t="s">
        <v>974</v>
      </c>
      <c r="B78" s="4" t="s">
        <v>391</v>
      </c>
    </row>
    <row r="79" spans="1:2">
      <c r="A79" s="4" t="s">
        <v>975</v>
      </c>
      <c r="B79" s="4" t="s">
        <v>393</v>
      </c>
    </row>
    <row r="80" spans="1:2">
      <c r="A80" s="4" t="s">
        <v>976</v>
      </c>
      <c r="B80" s="4" t="s">
        <v>395</v>
      </c>
    </row>
    <row r="81" spans="1:2">
      <c r="A81" s="4" t="s">
        <v>977</v>
      </c>
      <c r="B81" s="4" t="s">
        <v>978</v>
      </c>
    </row>
    <row r="82" spans="1:2">
      <c r="A82" s="4" t="s">
        <v>979</v>
      </c>
      <c r="B82" s="4" t="s">
        <v>425</v>
      </c>
    </row>
    <row r="83" spans="1:2">
      <c r="A83" s="4" t="s">
        <v>980</v>
      </c>
      <c r="B83" s="4" t="s">
        <v>153</v>
      </c>
    </row>
    <row r="84" spans="1:2">
      <c r="A84" s="4" t="s">
        <v>981</v>
      </c>
      <c r="B84" s="4" t="s">
        <v>427</v>
      </c>
    </row>
    <row r="85" spans="1:2">
      <c r="A85" s="4" t="s">
        <v>982</v>
      </c>
      <c r="B85" s="4" t="s">
        <v>983</v>
      </c>
    </row>
    <row r="86" spans="1:2">
      <c r="A86" s="4" t="s">
        <v>984</v>
      </c>
      <c r="B86" s="4" t="s">
        <v>432</v>
      </c>
    </row>
    <row r="87" spans="1:2">
      <c r="A87" s="4" t="s">
        <v>985</v>
      </c>
      <c r="B87" s="4" t="s">
        <v>986</v>
      </c>
    </row>
    <row r="88" spans="1:2">
      <c r="A88" s="4" t="s">
        <v>987</v>
      </c>
      <c r="B88" s="4" t="s">
        <v>442</v>
      </c>
    </row>
    <row r="89" spans="1:2">
      <c r="A89" s="4" t="s">
        <v>988</v>
      </c>
      <c r="B89" s="4" t="s">
        <v>989</v>
      </c>
    </row>
    <row r="90" spans="1:2">
      <c r="A90" s="4" t="s">
        <v>990</v>
      </c>
      <c r="B90" s="4" t="s">
        <v>991</v>
      </c>
    </row>
    <row r="91" spans="1:2">
      <c r="A91" s="4" t="s">
        <v>992</v>
      </c>
      <c r="B91" s="4" t="s">
        <v>451</v>
      </c>
    </row>
    <row r="92" spans="1:2">
      <c r="A92" s="4" t="s">
        <v>993</v>
      </c>
      <c r="B92" s="4" t="s">
        <v>452</v>
      </c>
    </row>
    <row r="93" spans="1:2">
      <c r="A93" s="4" t="s">
        <v>994</v>
      </c>
      <c r="B93" s="4" t="s">
        <v>995</v>
      </c>
    </row>
    <row r="94" spans="1:2">
      <c r="A94" s="4" t="s">
        <v>996</v>
      </c>
      <c r="B94" s="4" t="s">
        <v>454</v>
      </c>
    </row>
    <row r="95" spans="1:2">
      <c r="A95" s="4" t="s">
        <v>997</v>
      </c>
      <c r="B95" s="4" t="s">
        <v>455</v>
      </c>
    </row>
    <row r="96" spans="1:2">
      <c r="A96" s="4" t="s">
        <v>998</v>
      </c>
      <c r="B96" s="4" t="s">
        <v>457</v>
      </c>
    </row>
    <row r="97" spans="1:2">
      <c r="A97" s="4" t="s">
        <v>999</v>
      </c>
      <c r="B97" s="4" t="s">
        <v>1000</v>
      </c>
    </row>
    <row r="98" spans="1:2">
      <c r="A98" s="4" t="s">
        <v>1001</v>
      </c>
      <c r="B98" s="4" t="s">
        <v>1002</v>
      </c>
    </row>
    <row r="99" spans="1:2">
      <c r="A99" s="4" t="s">
        <v>1003</v>
      </c>
      <c r="B99" s="4" t="s">
        <v>1004</v>
      </c>
    </row>
    <row r="100" spans="1:2">
      <c r="A100" s="4" t="s">
        <v>1175</v>
      </c>
      <c r="B100" s="4" t="s">
        <v>1176</v>
      </c>
    </row>
    <row r="101" spans="1:2">
      <c r="A101" s="4" t="s">
        <v>1005</v>
      </c>
      <c r="B101" s="4" t="s">
        <v>463</v>
      </c>
    </row>
    <row r="102" spans="1:2">
      <c r="A102" s="4" t="s">
        <v>1006</v>
      </c>
      <c r="B102" s="4" t="s">
        <v>461</v>
      </c>
    </row>
    <row r="103" spans="1:2">
      <c r="A103" s="4" t="s">
        <v>1007</v>
      </c>
      <c r="B103" s="4" t="s">
        <v>464</v>
      </c>
    </row>
    <row r="104" spans="1:2">
      <c r="A104" s="4" t="s">
        <v>1008</v>
      </c>
      <c r="B104" s="4" t="s">
        <v>170</v>
      </c>
    </row>
    <row r="105" spans="1:2">
      <c r="A105" s="4" t="s">
        <v>1009</v>
      </c>
      <c r="B105" s="4" t="s">
        <v>1010</v>
      </c>
    </row>
    <row r="106" spans="1:2">
      <c r="A106" s="4" t="s">
        <v>1011</v>
      </c>
      <c r="B106" s="4" t="s">
        <v>472</v>
      </c>
    </row>
    <row r="107" spans="1:2">
      <c r="A107" s="4" t="s">
        <v>1012</v>
      </c>
      <c r="B107" s="4" t="s">
        <v>474</v>
      </c>
    </row>
    <row r="108" spans="1:2">
      <c r="A108" s="4" t="s">
        <v>1013</v>
      </c>
      <c r="B108" s="4" t="s">
        <v>183</v>
      </c>
    </row>
    <row r="109" spans="1:2">
      <c r="A109" s="4" t="s">
        <v>1014</v>
      </c>
      <c r="B109" s="4" t="s">
        <v>177</v>
      </c>
    </row>
    <row r="110" spans="1:2">
      <c r="A110" s="4" t="s">
        <v>1015</v>
      </c>
      <c r="B110" s="4" t="s">
        <v>476</v>
      </c>
    </row>
    <row r="111" spans="1:2">
      <c r="A111" s="4" t="s">
        <v>1016</v>
      </c>
      <c r="B111" s="4" t="s">
        <v>187</v>
      </c>
    </row>
    <row r="112" spans="1:2">
      <c r="A112" s="4" t="s">
        <v>1017</v>
      </c>
      <c r="B112" s="4" t="s">
        <v>193</v>
      </c>
    </row>
    <row r="113" spans="1:2">
      <c r="A113" s="4" t="s">
        <v>1018</v>
      </c>
      <c r="B113" s="4" t="s">
        <v>196</v>
      </c>
    </row>
    <row r="114" spans="1:2">
      <c r="A114" s="4" t="s">
        <v>1019</v>
      </c>
      <c r="B114" s="4" t="s">
        <v>200</v>
      </c>
    </row>
    <row r="115" spans="1:2">
      <c r="A115" s="4" t="s">
        <v>1020</v>
      </c>
      <c r="B115" s="4" t="s">
        <v>481</v>
      </c>
    </row>
    <row r="116" spans="1:2">
      <c r="A116" s="4" t="s">
        <v>1021</v>
      </c>
      <c r="B116" s="4" t="s">
        <v>1022</v>
      </c>
    </row>
    <row r="117" spans="1:2">
      <c r="A117" s="4" t="s">
        <v>1023</v>
      </c>
      <c r="B117" s="4" t="s">
        <v>483</v>
      </c>
    </row>
    <row r="118" spans="1:2">
      <c r="A118" s="4" t="s">
        <v>1024</v>
      </c>
      <c r="B118" s="4" t="s">
        <v>1025</v>
      </c>
    </row>
    <row r="119" spans="1:2">
      <c r="A119" s="4" t="s">
        <v>1026</v>
      </c>
      <c r="B119" s="4" t="s">
        <v>486</v>
      </c>
    </row>
    <row r="120" spans="1:2">
      <c r="A120" s="4" t="s">
        <v>1027</v>
      </c>
      <c r="B120" s="4" t="s">
        <v>487</v>
      </c>
    </row>
    <row r="121" spans="1:2">
      <c r="A121" s="4" t="s">
        <v>1028</v>
      </c>
      <c r="B121" s="4" t="s">
        <v>488</v>
      </c>
    </row>
    <row r="122" spans="1:2">
      <c r="A122" s="4" t="s">
        <v>1029</v>
      </c>
      <c r="B122" s="4" t="s">
        <v>1030</v>
      </c>
    </row>
    <row r="123" spans="1:2">
      <c r="A123" s="4" t="s">
        <v>1031</v>
      </c>
      <c r="B123" s="4" t="s">
        <v>491</v>
      </c>
    </row>
    <row r="124" spans="1:2">
      <c r="A124" s="4" t="s">
        <v>1032</v>
      </c>
      <c r="B124" s="4" t="s">
        <v>492</v>
      </c>
    </row>
    <row r="125" spans="1:2">
      <c r="A125" s="4" t="s">
        <v>1033</v>
      </c>
      <c r="B125" s="4" t="s">
        <v>493</v>
      </c>
    </row>
    <row r="126" spans="1:2">
      <c r="A126" s="4" t="s">
        <v>1034</v>
      </c>
      <c r="B126" s="4" t="s">
        <v>494</v>
      </c>
    </row>
    <row r="127" spans="1:2">
      <c r="A127" s="4" t="s">
        <v>1035</v>
      </c>
      <c r="B127" s="4" t="s">
        <v>1036</v>
      </c>
    </row>
    <row r="128" spans="1:2">
      <c r="A128" s="4" t="s">
        <v>1037</v>
      </c>
      <c r="B128" s="4" t="s">
        <v>497</v>
      </c>
    </row>
    <row r="129" spans="1:2">
      <c r="A129" s="4" t="s">
        <v>1038</v>
      </c>
      <c r="B129" s="4" t="s">
        <v>204</v>
      </c>
    </row>
    <row r="130" spans="1:2">
      <c r="A130" s="4" t="s">
        <v>1039</v>
      </c>
      <c r="B130" s="4" t="s">
        <v>499</v>
      </c>
    </row>
    <row r="131" spans="1:2">
      <c r="A131" s="4" t="s">
        <v>1177</v>
      </c>
      <c r="B131" s="4" t="s">
        <v>1178</v>
      </c>
    </row>
    <row r="132" spans="1:2">
      <c r="A132" s="4" t="s">
        <v>1040</v>
      </c>
      <c r="B132" s="4" t="s">
        <v>500</v>
      </c>
    </row>
    <row r="133" spans="1:2">
      <c r="A133" s="4" t="s">
        <v>1041</v>
      </c>
      <c r="B133" s="4" t="s">
        <v>501</v>
      </c>
    </row>
    <row r="134" spans="1:2">
      <c r="A134" s="4" t="s">
        <v>1042</v>
      </c>
      <c r="B134" s="4" t="s">
        <v>503</v>
      </c>
    </row>
    <row r="135" spans="1:2">
      <c r="A135" s="4" t="s">
        <v>1043</v>
      </c>
      <c r="B135" s="4" t="s">
        <v>504</v>
      </c>
    </row>
    <row r="136" spans="1:2">
      <c r="A136" s="4" t="s">
        <v>1044</v>
      </c>
      <c r="B136" s="4" t="s">
        <v>507</v>
      </c>
    </row>
    <row r="137" spans="1:2">
      <c r="A137" s="4" t="s">
        <v>1045</v>
      </c>
      <c r="B137" s="4" t="s">
        <v>508</v>
      </c>
    </row>
    <row r="138" spans="1:2">
      <c r="A138" s="4" t="s">
        <v>1046</v>
      </c>
      <c r="B138" s="4" t="s">
        <v>509</v>
      </c>
    </row>
    <row r="139" spans="1:2">
      <c r="A139" s="4" t="s">
        <v>1047</v>
      </c>
      <c r="B139" s="4" t="s">
        <v>1048</v>
      </c>
    </row>
    <row r="140" spans="1:2">
      <c r="A140" s="4" t="s">
        <v>1049</v>
      </c>
      <c r="B140" s="4" t="s">
        <v>511</v>
      </c>
    </row>
    <row r="141" spans="1:2">
      <c r="A141" s="4" t="s">
        <v>1050</v>
      </c>
      <c r="B141" s="4" t="s">
        <v>512</v>
      </c>
    </row>
    <row r="142" spans="1:2">
      <c r="A142" s="4" t="s">
        <v>1051</v>
      </c>
      <c r="B142" s="4" t="s">
        <v>513</v>
      </c>
    </row>
    <row r="143" spans="1:2">
      <c r="A143" s="4" t="s">
        <v>1052</v>
      </c>
      <c r="B143" s="4" t="s">
        <v>514</v>
      </c>
    </row>
    <row r="144" spans="1:2">
      <c r="A144" s="4" t="s">
        <v>1053</v>
      </c>
      <c r="B144" s="4" t="s">
        <v>516</v>
      </c>
    </row>
    <row r="145" spans="1:2">
      <c r="A145" s="4" t="s">
        <v>1054</v>
      </c>
      <c r="B145" s="4" t="s">
        <v>1055</v>
      </c>
    </row>
    <row r="146" spans="1:2">
      <c r="A146" s="4" t="s">
        <v>1056</v>
      </c>
      <c r="B146" s="4" t="s">
        <v>518</v>
      </c>
    </row>
    <row r="147" spans="1:2">
      <c r="A147" s="4" t="s">
        <v>1057</v>
      </c>
      <c r="B147" s="4" t="s">
        <v>519</v>
      </c>
    </row>
    <row r="148" spans="1:2">
      <c r="A148" s="4" t="s">
        <v>1058</v>
      </c>
      <c r="B148" s="4" t="s">
        <v>521</v>
      </c>
    </row>
    <row r="149" spans="1:2">
      <c r="A149" s="4" t="s">
        <v>1059</v>
      </c>
      <c r="B149" s="4" t="s">
        <v>522</v>
      </c>
    </row>
    <row r="150" spans="1:2">
      <c r="A150" s="4" t="s">
        <v>1060</v>
      </c>
      <c r="B150" s="4" t="s">
        <v>525</v>
      </c>
    </row>
    <row r="151" spans="1:2">
      <c r="A151" s="4" t="s">
        <v>1061</v>
      </c>
      <c r="B151" s="4" t="s">
        <v>526</v>
      </c>
    </row>
    <row r="152" spans="1:2">
      <c r="A152" s="4" t="s">
        <v>1063</v>
      </c>
      <c r="B152" s="4" t="s">
        <v>527</v>
      </c>
    </row>
    <row r="153" spans="1:2">
      <c r="A153" s="4" t="s">
        <v>1064</v>
      </c>
      <c r="B153" s="4" t="s">
        <v>528</v>
      </c>
    </row>
    <row r="154" spans="1:2">
      <c r="A154" s="4" t="s">
        <v>1065</v>
      </c>
      <c r="B154" s="4" t="s">
        <v>529</v>
      </c>
    </row>
    <row r="155" spans="1:2">
      <c r="A155" s="4" t="s">
        <v>1066</v>
      </c>
      <c r="B155" s="4" t="s">
        <v>530</v>
      </c>
    </row>
    <row r="156" spans="1:2">
      <c r="A156" s="4" t="s">
        <v>1067</v>
      </c>
      <c r="B156" s="4" t="s">
        <v>531</v>
      </c>
    </row>
    <row r="157" spans="1:2">
      <c r="A157" s="4" t="s">
        <v>1068</v>
      </c>
      <c r="B157" s="4" t="s">
        <v>532</v>
      </c>
    </row>
    <row r="158" spans="1:2">
      <c r="A158" s="4" t="s">
        <v>1069</v>
      </c>
      <c r="B158" s="4" t="s">
        <v>534</v>
      </c>
    </row>
    <row r="159" spans="1:2">
      <c r="A159" s="4" t="s">
        <v>1070</v>
      </c>
      <c r="B159" s="4" t="s">
        <v>535</v>
      </c>
    </row>
    <row r="160" spans="1:2">
      <c r="A160" s="4" t="s">
        <v>1071</v>
      </c>
      <c r="B160" s="4" t="s">
        <v>536</v>
      </c>
    </row>
    <row r="161" spans="1:2">
      <c r="A161" s="4" t="s">
        <v>1072</v>
      </c>
      <c r="B161" s="4" t="s">
        <v>537</v>
      </c>
    </row>
    <row r="162" spans="1:2">
      <c r="A162" s="4" t="s">
        <v>1073</v>
      </c>
      <c r="B162" s="4" t="s">
        <v>539</v>
      </c>
    </row>
    <row r="163" spans="1:2">
      <c r="A163" s="4" t="s">
        <v>1074</v>
      </c>
      <c r="B163" s="4" t="s">
        <v>540</v>
      </c>
    </row>
    <row r="164" spans="1:2">
      <c r="A164" s="4" t="s">
        <v>1075</v>
      </c>
      <c r="B164" s="4" t="s">
        <v>541</v>
      </c>
    </row>
    <row r="165" spans="1:2">
      <c r="A165" s="4" t="s">
        <v>1076</v>
      </c>
      <c r="B165" s="4" t="s">
        <v>542</v>
      </c>
    </row>
    <row r="166" spans="1:2">
      <c r="A166" s="4" t="s">
        <v>1179</v>
      </c>
      <c r="B166" s="4" t="s">
        <v>1062</v>
      </c>
    </row>
    <row r="167" spans="1:2">
      <c r="A167" s="4" t="s">
        <v>1077</v>
      </c>
      <c r="B167" s="4" t="s">
        <v>1078</v>
      </c>
    </row>
    <row r="168" spans="1:2">
      <c r="A168" s="4" t="s">
        <v>1079</v>
      </c>
      <c r="B168" s="4" t="s">
        <v>545</v>
      </c>
    </row>
    <row r="169" spans="1:2">
      <c r="A169" s="4" t="s">
        <v>1080</v>
      </c>
      <c r="B169" s="4" t="s">
        <v>546</v>
      </c>
    </row>
    <row r="170" spans="1:2">
      <c r="A170" s="4" t="s">
        <v>1081</v>
      </c>
      <c r="B170" s="4" t="s">
        <v>547</v>
      </c>
    </row>
    <row r="171" spans="1:2">
      <c r="A171" s="4" t="s">
        <v>1082</v>
      </c>
      <c r="B171" s="4" t="s">
        <v>548</v>
      </c>
    </row>
    <row r="172" spans="1:2">
      <c r="A172" s="4" t="s">
        <v>1083</v>
      </c>
      <c r="B172" s="4" t="s">
        <v>549</v>
      </c>
    </row>
    <row r="173" spans="1:2">
      <c r="A173" s="4" t="s">
        <v>1084</v>
      </c>
      <c r="B173" s="4" t="s">
        <v>550</v>
      </c>
    </row>
    <row r="174" spans="1:2">
      <c r="A174" s="4" t="s">
        <v>1085</v>
      </c>
      <c r="B174" s="4" t="s">
        <v>552</v>
      </c>
    </row>
    <row r="175" spans="1:2">
      <c r="A175" s="4" t="s">
        <v>1086</v>
      </c>
      <c r="B175" s="4" t="s">
        <v>1087</v>
      </c>
    </row>
    <row r="176" spans="1:2">
      <c r="A176" s="4" t="s">
        <v>1088</v>
      </c>
      <c r="B176" s="4" t="s">
        <v>556</v>
      </c>
    </row>
    <row r="177" spans="1:2">
      <c r="A177" s="4" t="s">
        <v>1089</v>
      </c>
      <c r="B177" s="4" t="s">
        <v>557</v>
      </c>
    </row>
    <row r="178" spans="1:2">
      <c r="A178" s="4" t="s">
        <v>1090</v>
      </c>
      <c r="B178" s="4" t="s">
        <v>558</v>
      </c>
    </row>
    <row r="179" spans="1:2">
      <c r="A179" s="4" t="s">
        <v>1091</v>
      </c>
      <c r="B179" s="4" t="s">
        <v>559</v>
      </c>
    </row>
    <row r="180" spans="1:2">
      <c r="A180" s="4" t="s">
        <v>1092</v>
      </c>
      <c r="B180" s="4" t="s">
        <v>560</v>
      </c>
    </row>
    <row r="181" spans="1:2">
      <c r="A181" s="4" t="s">
        <v>1093</v>
      </c>
      <c r="B181" s="4" t="s">
        <v>1094</v>
      </c>
    </row>
    <row r="182" spans="1:2">
      <c r="A182" s="4" t="s">
        <v>1095</v>
      </c>
      <c r="B182" s="4" t="s">
        <v>564</v>
      </c>
    </row>
    <row r="183" spans="1:2">
      <c r="A183" s="4" t="s">
        <v>1096</v>
      </c>
      <c r="B183" s="4" t="s">
        <v>565</v>
      </c>
    </row>
    <row r="184" spans="1:2">
      <c r="A184" s="4" t="s">
        <v>1097</v>
      </c>
      <c r="B184" s="4" t="s">
        <v>566</v>
      </c>
    </row>
    <row r="185" spans="1:2">
      <c r="A185" s="4" t="s">
        <v>1098</v>
      </c>
      <c r="B185" s="4" t="s">
        <v>568</v>
      </c>
    </row>
    <row r="186" spans="1:2">
      <c r="A186" s="4" t="s">
        <v>1099</v>
      </c>
      <c r="B186" s="4" t="s">
        <v>569</v>
      </c>
    </row>
    <row r="187" spans="1:2">
      <c r="A187" s="4" t="s">
        <v>1100</v>
      </c>
      <c r="B187" s="4" t="s">
        <v>571</v>
      </c>
    </row>
    <row r="188" spans="1:2">
      <c r="A188" s="4" t="s">
        <v>1101</v>
      </c>
      <c r="B188" s="4" t="s">
        <v>1102</v>
      </c>
    </row>
    <row r="189" spans="1:2">
      <c r="A189" s="4" t="s">
        <v>1103</v>
      </c>
      <c r="B189" s="4" t="s">
        <v>1104</v>
      </c>
    </row>
    <row r="190" spans="1:2">
      <c r="A190" s="4" t="s">
        <v>1105</v>
      </c>
      <c r="B190" s="4" t="s">
        <v>578</v>
      </c>
    </row>
    <row r="191" spans="1:2">
      <c r="A191" s="4" t="s">
        <v>1106</v>
      </c>
      <c r="B191" s="4" t="s">
        <v>1107</v>
      </c>
    </row>
    <row r="192" spans="1:2">
      <c r="A192" s="4" t="s">
        <v>1108</v>
      </c>
      <c r="B192" s="4" t="s">
        <v>585</v>
      </c>
    </row>
    <row r="193" spans="1:2">
      <c r="A193" s="4" t="s">
        <v>1109</v>
      </c>
      <c r="B193" s="4" t="s">
        <v>591</v>
      </c>
    </row>
    <row r="194" spans="1:2">
      <c r="A194" s="4" t="s">
        <v>1110</v>
      </c>
      <c r="B194" s="4" t="s">
        <v>1111</v>
      </c>
    </row>
    <row r="195" spans="1:2">
      <c r="A195" s="4" t="s">
        <v>1112</v>
      </c>
      <c r="B195" s="4" t="s">
        <v>594</v>
      </c>
    </row>
    <row r="196" spans="1:2">
      <c r="A196" s="4" t="s">
        <v>1113</v>
      </c>
      <c r="B196" s="4" t="s">
        <v>595</v>
      </c>
    </row>
    <row r="197" spans="1:2">
      <c r="A197" s="4" t="s">
        <v>1114</v>
      </c>
      <c r="B197" s="4" t="s">
        <v>1115</v>
      </c>
    </row>
    <row r="198" spans="1:2">
      <c r="A198" s="4" t="s">
        <v>1116</v>
      </c>
      <c r="B198" s="4" t="s">
        <v>597</v>
      </c>
    </row>
    <row r="199" spans="1:2">
      <c r="A199" s="4" t="s">
        <v>1117</v>
      </c>
      <c r="B199" s="4" t="s">
        <v>599</v>
      </c>
    </row>
    <row r="200" spans="1:2">
      <c r="A200" s="4" t="s">
        <v>1118</v>
      </c>
      <c r="B200" s="4" t="s">
        <v>600</v>
      </c>
    </row>
    <row r="201" spans="1:2">
      <c r="A201" s="4" t="s">
        <v>1119</v>
      </c>
      <c r="B201" s="4" t="s">
        <v>601</v>
      </c>
    </row>
    <row r="202" spans="1:2">
      <c r="A202" s="4" t="s">
        <v>1120</v>
      </c>
      <c r="B202" s="4" t="s">
        <v>602</v>
      </c>
    </row>
    <row r="203" spans="1:2">
      <c r="A203" s="4" t="s">
        <v>1121</v>
      </c>
      <c r="B203" s="4" t="s">
        <v>1122</v>
      </c>
    </row>
    <row r="204" spans="1:2">
      <c r="A204" s="4" t="s">
        <v>1123</v>
      </c>
      <c r="B204" s="4" t="s">
        <v>605</v>
      </c>
    </row>
    <row r="205" spans="1:2">
      <c r="A205" s="4" t="s">
        <v>1124</v>
      </c>
      <c r="B205" s="4" t="s">
        <v>608</v>
      </c>
    </row>
    <row r="206" spans="1:2">
      <c r="A206" s="4" t="s">
        <v>1125</v>
      </c>
      <c r="B206" s="4" t="s">
        <v>609</v>
      </c>
    </row>
    <row r="207" spans="1:2">
      <c r="A207" s="4" t="s">
        <v>1126</v>
      </c>
      <c r="B207" s="4" t="s">
        <v>610</v>
      </c>
    </row>
    <row r="208" spans="1:2">
      <c r="A208" s="4" t="s">
        <v>1127</v>
      </c>
      <c r="B208" s="4" t="s">
        <v>611</v>
      </c>
    </row>
    <row r="209" spans="1:2">
      <c r="A209" s="4" t="s">
        <v>1128</v>
      </c>
      <c r="B209" s="4" t="s">
        <v>612</v>
      </c>
    </row>
    <row r="210" spans="1:2">
      <c r="A210" s="4" t="s">
        <v>1129</v>
      </c>
      <c r="B210" s="4" t="s">
        <v>618</v>
      </c>
    </row>
    <row r="211" spans="1:2">
      <c r="A211" s="4" t="s">
        <v>1130</v>
      </c>
      <c r="B211" s="4" t="s">
        <v>619</v>
      </c>
    </row>
    <row r="212" spans="1:2">
      <c r="A212" s="4" t="s">
        <v>1131</v>
      </c>
      <c r="B212" s="4" t="s">
        <v>620</v>
      </c>
    </row>
    <row r="213" spans="1:2">
      <c r="A213" s="4" t="s">
        <v>1132</v>
      </c>
      <c r="B213" s="4" t="s">
        <v>621</v>
      </c>
    </row>
    <row r="214" spans="1:2">
      <c r="A214" s="4" t="s">
        <v>1133</v>
      </c>
      <c r="B214" s="4" t="s">
        <v>1134</v>
      </c>
    </row>
    <row r="215" spans="1:2">
      <c r="A215" s="4" t="s">
        <v>1135</v>
      </c>
      <c r="B215" s="4" t="s">
        <v>624</v>
      </c>
    </row>
    <row r="216" spans="1:2">
      <c r="A216" s="4" t="s">
        <v>1136</v>
      </c>
      <c r="B216" s="4" t="s">
        <v>636</v>
      </c>
    </row>
    <row r="217" spans="1:2">
      <c r="A217" s="4" t="s">
        <v>1137</v>
      </c>
      <c r="B217" s="4" t="s">
        <v>78</v>
      </c>
    </row>
    <row r="218" spans="1:2">
      <c r="A218" s="4" t="s">
        <v>1138</v>
      </c>
      <c r="B218" s="4" t="s">
        <v>79</v>
      </c>
    </row>
    <row r="219" spans="1:2">
      <c r="A219" s="4" t="s">
        <v>1139</v>
      </c>
      <c r="B219" s="4" t="s">
        <v>80</v>
      </c>
    </row>
    <row r="220" spans="1:2">
      <c r="A220" s="4" t="s">
        <v>1140</v>
      </c>
      <c r="B220" s="4" t="s">
        <v>83</v>
      </c>
    </row>
    <row r="221" spans="1:2">
      <c r="A221" s="4" t="s">
        <v>1141</v>
      </c>
      <c r="B221" s="4" t="s">
        <v>85</v>
      </c>
    </row>
    <row r="222" spans="1:2">
      <c r="A222" s="4" t="s">
        <v>1142</v>
      </c>
      <c r="B222" s="4" t="s">
        <v>86</v>
      </c>
    </row>
    <row r="223" spans="1:2">
      <c r="A223" s="4" t="s">
        <v>1143</v>
      </c>
      <c r="B223" s="4" t="s">
        <v>87</v>
      </c>
    </row>
    <row r="224" spans="1:2">
      <c r="A224" s="4" t="s">
        <v>1180</v>
      </c>
      <c r="B224" s="4" t="s">
        <v>1181</v>
      </c>
    </row>
    <row r="225" spans="1:2">
      <c r="A225" s="4" t="s">
        <v>1144</v>
      </c>
      <c r="B225" s="4" t="s">
        <v>1145</v>
      </c>
    </row>
  </sheetData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er xmlns="e991ec1d-6707-493c-ba52-69df247957c2">Tier</Tier>
    <lcf76f155ced4ddcb4097134ff3c332f xmlns="e991ec1d-6707-493c-ba52-69df247957c2">
      <Terms xmlns="http://schemas.microsoft.com/office/infopath/2007/PartnerControls"/>
    </lcf76f155ced4ddcb4097134ff3c332f>
    <TaxCatchAll xmlns="d871cfff-176a-4ebf-a839-0b8ebab3041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2A80570BCC8B47A90D0C57E383DD7C" ma:contentTypeVersion="16" ma:contentTypeDescription="Create a new document." ma:contentTypeScope="" ma:versionID="d2abc4e5a8471a0cd2a37665e5e81ae4">
  <xsd:schema xmlns:xsd="http://www.w3.org/2001/XMLSchema" xmlns:xs="http://www.w3.org/2001/XMLSchema" xmlns:p="http://schemas.microsoft.com/office/2006/metadata/properties" xmlns:ns2="3d05f1d6-b0e6-4141-a598-1f234ead6714" xmlns:ns3="e991ec1d-6707-493c-ba52-69df247957c2" xmlns:ns4="d871cfff-176a-4ebf-a839-0b8ebab30419" targetNamespace="http://schemas.microsoft.com/office/2006/metadata/properties" ma:root="true" ma:fieldsID="ce4b1411c52747888029412117896e19" ns2:_="" ns3:_="" ns4:_="">
    <xsd:import namespace="3d05f1d6-b0e6-4141-a598-1f234ead6714"/>
    <xsd:import namespace="e991ec1d-6707-493c-ba52-69df247957c2"/>
    <xsd:import namespace="d871cfff-176a-4ebf-a839-0b8ebab3041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4:TaxCatchAll" minOccurs="0"/>
                <xsd:element ref="ns3:MediaServiceOCR" minOccurs="0"/>
                <xsd:element ref="ns3:Tier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5f1d6-b0e6-4141-a598-1f234ead671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91ec1d-6707-493c-ba52-69df247957c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0" nillable="true" ma:taxonomy="true" ma:internalName="lcf76f155ced4ddcb4097134ff3c332f" ma:taxonomyFieldName="MediaServiceImageTags" ma:displayName="Image Tags" ma:readOnly="false" ma:fieldId="{5cf76f15-5ced-4ddc-b409-7134ff3c332f}" ma:taxonomyMulti="true" ma:sspId="24dd253f-523f-4b06-ba9d-a724ad43f437" ma:termSetId="00000000-0000-0000-0000-000000000000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description="" ma:internalName="MediaServiceOCR" ma:readOnly="true">
      <xsd:simpleType>
        <xsd:restriction base="dms:Note">
          <xsd:maxLength value="255"/>
        </xsd:restriction>
      </xsd:simpleType>
    </xsd:element>
    <xsd:element name="Tier" ma:index="14" nillable="true" ma:displayName="Tier" ma:default="Tier" ma:format="Dropdown" ma:internalName="Tier">
      <xsd:simpleType>
        <xsd:restriction base="dms:Text">
          <xsd:maxLength value="255"/>
        </xsd:restriction>
      </xsd:simpleType>
    </xsd:element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71cfff-176a-4ebf-a839-0b8ebab304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d3f2fbd-1a59-4ff4-b37d-dc5ba54b1c9a}" ma:internalName="TaxCatchAll" ma:showField="CatchAllData" ma:web="d871cfff-176a-4ebf-a839-0b8ebab304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6249F7-0B1D-4D31-B53E-8B3421579A15}">
  <ds:schemaRefs>
    <ds:schemaRef ds:uri="http://purl.org/dc/elements/1.1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terms/"/>
    <ds:schemaRef ds:uri="e991ec1d-6707-493c-ba52-69df247957c2"/>
    <ds:schemaRef ds:uri="3d05f1d6-b0e6-4141-a598-1f234ead6714"/>
    <ds:schemaRef ds:uri="http://schemas.microsoft.com/office/2006/documentManagement/types"/>
    <ds:schemaRef ds:uri="http://schemas.openxmlformats.org/package/2006/metadata/core-properties"/>
    <ds:schemaRef ds:uri="d871cfff-176a-4ebf-a839-0b8ebab30419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3F1418A-FBEF-49AD-B6C4-437A1A411E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05f1d6-b0e6-4141-a598-1f234ead6714"/>
    <ds:schemaRef ds:uri="e991ec1d-6707-493c-ba52-69df247957c2"/>
    <ds:schemaRef ds:uri="d871cfff-176a-4ebf-a839-0b8ebab304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7C96C9-7179-47C1-83A5-1CDE97095766}">
  <ds:schemaRefs>
    <ds:schemaRef ds:uri="http://www.w3.org/2001/XMLSchema"/>
  </ds:schemaRefs>
</ds:datastoreItem>
</file>

<file path=customXml/itemProps4.xml><?xml version="1.0" encoding="utf-8"?>
<ds:datastoreItem xmlns:ds="http://schemas.openxmlformats.org/officeDocument/2006/customXml" ds:itemID="{164CE4CA-F65F-4FA9-BFBD-2DF83A3145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14</vt:i4>
      </vt:variant>
    </vt:vector>
  </HeadingPairs>
  <TitlesOfParts>
    <vt:vector size="32" baseType="lpstr">
      <vt:lpstr>TODO</vt:lpstr>
      <vt:lpstr>US_Holidays__2025_2034_</vt:lpstr>
      <vt:lpstr>COVER</vt:lpstr>
      <vt:lpstr>STEP 1 - PROJECT DATA</vt:lpstr>
      <vt:lpstr>STEP 2 - GCs</vt:lpstr>
      <vt:lpstr>STEP 3 - SITE OPS</vt:lpstr>
      <vt:lpstr>STEP 4 - ESTIMATE</vt:lpstr>
      <vt:lpstr>VEs_ALTS_MF</vt:lpstr>
      <vt:lpstr>VEs_ALTS_COMMERCIAL </vt:lpstr>
      <vt:lpstr>WINTER CONDITIONS</vt:lpstr>
      <vt:lpstr>CLARIFICATIONS</vt:lpstr>
      <vt:lpstr>PER DIEM</vt:lpstr>
      <vt:lpstr>TOWER CRANE</vt:lpstr>
      <vt:lpstr>SKIP</vt:lpstr>
      <vt:lpstr>STREET CLOSURES</vt:lpstr>
      <vt:lpstr>STORM RETENTION</vt:lpstr>
      <vt:lpstr>Budget Line Items</vt:lpstr>
      <vt:lpstr>Importer Data Fields</vt:lpstr>
      <vt:lpstr>COVER!Print_Area</vt:lpstr>
      <vt:lpstr>'PER DIEM'!Print_Area</vt:lpstr>
      <vt:lpstr>SKIP!Print_Area</vt:lpstr>
      <vt:lpstr>'STEP 1 - PROJECT DATA'!Print_Area</vt:lpstr>
      <vt:lpstr>'STEP 2 - GCs'!Print_Area</vt:lpstr>
      <vt:lpstr>'STEP 3 - SITE OPS'!Print_Area</vt:lpstr>
      <vt:lpstr>'STEP 4 - ESTIMATE'!Print_Area</vt:lpstr>
      <vt:lpstr>'TOWER CRANE'!Print_Area</vt:lpstr>
      <vt:lpstr>'VEs_ALTS_COMMERCIAL '!Print_Area</vt:lpstr>
      <vt:lpstr>'VEs_ALTS_COMMERCIAL '!Print_Titles</vt:lpstr>
      <vt:lpstr>VEs_ALTS_MF!Print_Titles</vt:lpstr>
      <vt:lpstr>'WINTER CONDITIONS'!Print_Titles</vt:lpstr>
      <vt:lpstr>Subtotal</vt:lpstr>
      <vt:lpstr>Surcharge_Warranty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FPConstruction@fendlerpatterson.com</dc:creator>
  <cp:keywords/>
  <dc:description/>
  <cp:lastModifiedBy>Ben Urness</cp:lastModifiedBy>
  <cp:revision/>
  <dcterms:created xsi:type="dcterms:W3CDTF">2024-02-17T23:36:01Z</dcterms:created>
  <dcterms:modified xsi:type="dcterms:W3CDTF">2026-05-29T02:12:16Z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{777C96C9-7179-47C1-83A5-1CDE97095766}</vt:lpwstr>
  </property>
  <property fmtid="{D5CDD505-2E9C-101B-9397-08002B2CF9AE}" pid="5" name="ContentTypeId">
    <vt:lpwstr>0x010100B52A80570BCC8B47A90D0C57E383DD7C</vt:lpwstr>
  </property>
  <property fmtid="{D5CDD505-2E9C-101B-9397-08002B2CF9AE}" pid="6" name="MediaServiceImageTags">
    <vt:lpwstr/>
  </property>
</Properties>
</file>