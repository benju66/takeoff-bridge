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s_ALTS" state="visible" r:id="rId4"/>
    <sheet sheetId="2" name="READ ME — build notes" state="visible" r:id="rId5"/>
  </sheets>
  <calcPr calcId="171027"/>
</workbook>
</file>

<file path=xl/sharedStrings.xml><?xml version="1.0" encoding="utf-8"?>
<sst xmlns="http://schemas.openxmlformats.org/spreadsheetml/2006/main" count="127" uniqueCount="83">
  <si>
    <t>VALUE ENGINEERING  /  PROJECT ALTERNATES</t>
  </si>
  <si>
    <t>Project:</t>
  </si>
  <si>
    <t>‹Project Name → STEP 1›</t>
  </si>
  <si>
    <t>Project #:</t>
  </si>
  <si>
    <t>‹STEP 1›</t>
  </si>
  <si>
    <t>Date:</t>
  </si>
  <si>
    <t>Location:</t>
  </si>
  <si>
    <t>‹Location → STEP 1›</t>
  </si>
  <si>
    <t>Sector:</t>
  </si>
  <si>
    <t>‹MF / Commercial›</t>
  </si>
  <si>
    <t>Pricing Confidence:     P = Preliminary          A = Allowance          C = Confirmed</t>
  </si>
  <si>
    <t>Category</t>
  </si>
  <si>
    <t>Division</t>
  </si>
  <si>
    <t>Item # / Label</t>
  </si>
  <si>
    <t>Description</t>
  </si>
  <si>
    <t>Confidence (P/A/C)</t>
  </si>
  <si>
    <t>Status</t>
  </si>
  <si>
    <t>Ball-in-Court</t>
  </si>
  <si>
    <t>Direct Cost</t>
  </si>
  <si>
    <t>Vendor Cost</t>
  </si>
  <si>
    <t>Markup %</t>
  </si>
  <si>
    <t>Total</t>
  </si>
  <si>
    <t>Comments</t>
  </si>
  <si>
    <t>VE</t>
  </si>
  <si>
    <t>09 — Finishes</t>
  </si>
  <si>
    <t>VE-01</t>
  </si>
  <si>
    <t>LVT in lieu of porcelain tile at corridors</t>
  </si>
  <si>
    <t>C</t>
  </si>
  <si>
    <t>Accepted (In Estimate)</t>
  </si>
  <si>
    <t>GC</t>
  </si>
  <si>
    <t>Approved 6/20</t>
  </si>
  <si>
    <t>26 — Electrical</t>
  </si>
  <si>
    <t>VE-02</t>
  </si>
  <si>
    <t>Reduce site lighting fixture count</t>
  </si>
  <si>
    <t>P</t>
  </si>
  <si>
    <t>Pending</t>
  </si>
  <si>
    <t>Owner</t>
  </si>
  <si>
    <t>Awaiting owner direction</t>
  </si>
  <si>
    <t>ALT</t>
  </si>
  <si>
    <t/>
  </si>
  <si>
    <t>Alternate 01</t>
  </si>
  <si>
    <t>Add rooftop amenity deck</t>
  </si>
  <si>
    <t>A</t>
  </si>
  <si>
    <t>Accepted (Pending)</t>
  </si>
  <si>
    <t>Vendor quote 6/18</t>
  </si>
  <si>
    <t>Alternate 02</t>
  </si>
  <si>
    <t>Upgrade lobby finishes package</t>
  </si>
  <si>
    <t>Architect</t>
  </si>
  <si>
    <t>Budgetary</t>
  </si>
  <si>
    <t>32 — Exterior</t>
  </si>
  <si>
    <t>Alternate 03</t>
  </si>
  <si>
    <t>Decorative paving at entry</t>
  </si>
  <si>
    <t>Rejected</t>
  </si>
  <si>
    <t>Declined 6/22</t>
  </si>
  <si>
    <t>SUMMARY  (rolls up the list above — display only, never affects the bid total)</t>
  </si>
  <si>
    <t>Total Value Engineering (Savings)</t>
  </si>
  <si>
    <t>Total Alternates</t>
  </si>
  <si>
    <t>— Accepted (In Estimate)</t>
  </si>
  <si>
    <t>— Accepted (Pending)</t>
  </si>
  <si>
    <t>— Pending</t>
  </si>
  <si>
    <t>— Rejected</t>
  </si>
  <si>
    <t>VEs_ALTS — MOCKUP / BUILD NOTES</t>
  </si>
  <si>
    <t>This file is a throwaway mockup. Build the real tab by hand in templates/Company_Estimate_Template.xlsx, then I review it.</t>
  </si>
  <si>
    <t>1. TAB NAME</t>
  </si>
  <si>
    <t xml:space="preserve">   Use exactly:  VEs_ALTS   (Excel forbids  / \ ? * [ ] :  in tab names; 31-char max). The slash only lives inside cell text, never the tab name.</t>
  </si>
  <si>
    <t xml:space="preserve">   This ONE tab replaces both VEs_ALTS_MF and VEs_ALTS_COMMERCIAL — delete both old tabs when you add this one (note the old Commercial tab name has a trailing space).</t>
  </si>
  <si>
    <t>2. HEADER CROSS-SHEET FORMULAS (use these real refs in the template; the mockup shows placeholders)</t>
  </si>
  <si>
    <t xml:space="preserve">   Project name (B3):   ='STEP 1 - PROJECT DATA'!D5</t>
  </si>
  <si>
    <t xml:space="preserve">   Project # (G3):      ='STEP 1 - PROJECT DATA'!D6 &amp; "." &amp; 'STEP 1 - PROJECT DATA'!D7</t>
  </si>
  <si>
    <t xml:space="preserve">   Location (B4):       ='STEP 1 - PROJECT DATA'!D8</t>
  </si>
  <si>
    <t xml:space="preserve">   Date (J3):           ='STEP 1 - PROJECT DATA'!G9</t>
  </si>
  <si>
    <t>3. COLUMNS (A → L, must stay in this order — exporter writes ascending)</t>
  </si>
  <si>
    <t xml:space="preserve">   A Category (VE / ALT) | B Division (optional) | C Item # / Label | D Description | E Confidence P/A/C | F Status | G Ball-in-Court | H Direct Cost | I Vendor Cost | J Markup % | K Total | L Comments</t>
  </si>
  <si>
    <t xml:space="preserve">   Status values: Accepted (In Estimate) / Accepted (Pending) / Pending / Rejected</t>
  </si>
  <si>
    <t xml:space="preserve">   Pricing: a row uses EITHER Direct Cost (H) OR Vendor Cost (I) + Markup % (J) — not both. Total (K) = IF(I&lt;&gt;"", I*(1+J), H). Blank Markup falls back to the estimate default.</t>
  </si>
  <si>
    <t>4. SIGN CONVENTION  —  DECISION NEEDED</t>
  </si>
  <si>
    <t xml:space="preserve">   Mockup shows VE as NEGATIVE (a deduct / savings) and Alternates as POSITIVE (added scope). Confirm this, or tell me you’d rather store positive magnitudes and label direction another way.</t>
  </si>
  <si>
    <t>5. EXPORT-WRITER CONTRACT (how the app will fill this tab later)</t>
  </si>
  <si>
    <t xml:space="preserve">   • App computes Total and writes it as a VALUE (matches the STEP 2/3 col-S tie-out discipline), not a formula.</t>
  </si>
  <si>
    <t xml:space="preserve">   • Pre-style a generous fixed block of blank rows (target ~150–200). The writer fills the first N and leaves the rest blank — same pattern as STEP 2/3, avoids risky row-insertion.</t>
  </si>
  <si>
    <t xml:space="preserve">   • If item count exceeds the pre-styled rows, the exporter FAILS LOUD (throws) — never silently truncates.</t>
  </si>
  <si>
    <t>6. NOT ON THIS TAB</t>
  </si>
  <si>
    <t xml:space="preserve">   The future “promote to estimate line” link (optional STEP 4 line reference) is an INTERNAL data-model field, not an owner-facing column. It stays out of this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</si>
</sst>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i/>
      <color rgb="FF7F6000"/>
    </font>
    <font>
      <b/>
      <color rgb="FFFFFFFF"/>
    </font>
    <font>
      <b/>
      <color rgb="FF006100"/>
    </font>
    <font>
      <b/>
      <color rgb="FF1F4E78"/>
    </font>
    <font/>
    <font>
      <b/>
      <color rgb="FF1F4E78"/>
      <sz val="14"/>
    </font>
    <font>
      <i/>
      <sz val="11"/>
    </font>
    <font>
      <sz val="11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40404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1" xfId="0" applyNumberFormat="1" applyFont="1" applyBorder="1"/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5" customWidth="1"/>
    <col min="4" max="4" width="42" customWidth="1"/>
    <col min="5" max="5" width="13" customWidth="1"/>
    <col min="6" max="6" width="22" customWidth="1"/>
    <col min="7" max="7" width="15" customWidth="1"/>
    <col min="8" max="9" width="13" customWidth="1"/>
    <col min="11" max="11" width="14" customWidth="1"/>
    <col min="12" max="12" width="28" customWidth="1"/>
  </cols>
  <sheetData>
    <row r="2" ht="28" customHeight="1" spans="1:1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0" x14ac:dyDescent="0.25">
      <c r="A3" s="2" t="s">
        <v>1</v>
      </c>
      <c r="B3" t="s">
        <v>2</v>
      </c>
      <c r="C3"/>
      <c r="D3"/>
      <c r="F3" s="2" t="s">
        <v>3</v>
      </c>
      <c r="G3" t="s">
        <v>4</v>
      </c>
      <c r="I3" s="2" t="s">
        <v>5</v>
      </c>
      <c r="J3" t="s">
        <v>4</v>
      </c>
    </row>
    <row r="4" spans="1:7" x14ac:dyDescent="0.25">
      <c r="A4" s="2" t="s">
        <v>6</v>
      </c>
      <c r="B4" t="s">
        <v>7</v>
      </c>
      <c r="C4"/>
      <c r="D4"/>
      <c r="F4" s="2" t="s">
        <v>8</v>
      </c>
      <c r="G4" t="s">
        <v>9</v>
      </c>
    </row>
    <row r="6" ht="18" customHeight="1" spans="1:12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30" customHeight="1" spans="1:12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</row>
    <row r="9" spans="1:12" x14ac:dyDescent="0.25">
      <c r="A9" s="5" t="s">
        <v>23</v>
      </c>
      <c r="B9" s="6" t="s">
        <v>24</v>
      </c>
      <c r="C9" s="6" t="s">
        <v>25</v>
      </c>
      <c r="D9" s="7" t="s">
        <v>26</v>
      </c>
      <c r="E9" s="8" t="s">
        <v>27</v>
      </c>
      <c r="F9" s="6" t="s">
        <v>28</v>
      </c>
      <c r="G9" s="6" t="s">
        <v>29</v>
      </c>
      <c r="H9" s="9">
        <v>-15000</v>
      </c>
      <c r="I9" s="9"/>
      <c r="J9" s="10"/>
      <c r="K9" s="9">
        <f>IF(I9&lt;&gt;"",I9*(1+J9),H9)</f>
      </c>
      <c r="L9" s="7" t="s">
        <v>30</v>
      </c>
    </row>
    <row r="10" spans="1:12" x14ac:dyDescent="0.25">
      <c r="A10" s="5" t="s">
        <v>23</v>
      </c>
      <c r="B10" s="6" t="s">
        <v>31</v>
      </c>
      <c r="C10" s="6" t="s">
        <v>32</v>
      </c>
      <c r="D10" s="7" t="s">
        <v>33</v>
      </c>
      <c r="E10" s="8" t="s">
        <v>34</v>
      </c>
      <c r="F10" s="6" t="s">
        <v>35</v>
      </c>
      <c r="G10" s="6" t="s">
        <v>36</v>
      </c>
      <c r="H10" s="9">
        <v>-8500</v>
      </c>
      <c r="I10" s="9"/>
      <c r="J10" s="10"/>
      <c r="K10" s="9">
        <f>IF(I10&lt;&gt;"",I10*(1+J10),H10)</f>
      </c>
      <c r="L10" s="7" t="s">
        <v>37</v>
      </c>
    </row>
    <row r="11" spans="1:12" x14ac:dyDescent="0.25">
      <c r="A11" s="11" t="s">
        <v>38</v>
      </c>
      <c r="B11" s="6" t="s">
        <v>39</v>
      </c>
      <c r="C11" s="6" t="s">
        <v>40</v>
      </c>
      <c r="D11" s="7" t="s">
        <v>41</v>
      </c>
      <c r="E11" s="8" t="s">
        <v>42</v>
      </c>
      <c r="F11" s="6" t="s">
        <v>43</v>
      </c>
      <c r="G11" s="6" t="s">
        <v>36</v>
      </c>
      <c r="H11" s="9"/>
      <c r="I11" s="9">
        <v>120000</v>
      </c>
      <c r="J11" s="10">
        <v>0.1</v>
      </c>
      <c r="K11" s="9">
        <f>IF(I11&lt;&gt;"",I11*(1+J11),H11)</f>
      </c>
      <c r="L11" s="7" t="s">
        <v>44</v>
      </c>
    </row>
    <row r="12" spans="1:12" x14ac:dyDescent="0.25">
      <c r="A12" s="11" t="s">
        <v>38</v>
      </c>
      <c r="B12" s="6" t="s">
        <v>39</v>
      </c>
      <c r="C12" s="6" t="s">
        <v>45</v>
      </c>
      <c r="D12" s="7" t="s">
        <v>46</v>
      </c>
      <c r="E12" s="8" t="s">
        <v>34</v>
      </c>
      <c r="F12" s="6" t="s">
        <v>35</v>
      </c>
      <c r="G12" s="6" t="s">
        <v>47</v>
      </c>
      <c r="H12" s="9"/>
      <c r="I12" s="9">
        <v>45000</v>
      </c>
      <c r="J12" s="10">
        <v>0.1</v>
      </c>
      <c r="K12" s="9">
        <f>IF(I12&lt;&gt;"",I12*(1+J12),H12)</f>
      </c>
      <c r="L12" s="7" t="s">
        <v>48</v>
      </c>
    </row>
    <row r="13" spans="1:12" x14ac:dyDescent="0.25">
      <c r="A13" s="11" t="s">
        <v>38</v>
      </c>
      <c r="B13" s="6" t="s">
        <v>49</v>
      </c>
      <c r="C13" s="6" t="s">
        <v>50</v>
      </c>
      <c r="D13" s="7" t="s">
        <v>51</v>
      </c>
      <c r="E13" s="8" t="s">
        <v>27</v>
      </c>
      <c r="F13" s="6" t="s">
        <v>52</v>
      </c>
      <c r="G13" s="6" t="s">
        <v>36</v>
      </c>
      <c r="H13" s="9"/>
      <c r="I13" s="9">
        <v>18000</v>
      </c>
      <c r="J13" s="10">
        <v>0.1</v>
      </c>
      <c r="K13" s="9">
        <f>IF(I13&lt;&gt;"",I13*(1+J13),H13)</f>
      </c>
      <c r="L13" s="7" t="s">
        <v>53</v>
      </c>
    </row>
    <row r="14" spans="1:12" x14ac:dyDescent="0.25">
      <c r="A14" s="6"/>
      <c r="B14" s="6"/>
      <c r="C14" s="6"/>
      <c r="D14" s="7"/>
      <c r="E14" s="6"/>
      <c r="F14" s="6"/>
      <c r="G14" s="6"/>
      <c r="H14" s="9"/>
      <c r="I14" s="9"/>
      <c r="J14" s="10"/>
      <c r="K14" s="9"/>
      <c r="L14" s="7"/>
    </row>
    <row r="15" spans="1:12" x14ac:dyDescent="0.25">
      <c r="A15" s="6"/>
      <c r="B15" s="6"/>
      <c r="C15" s="6"/>
      <c r="D15" s="7"/>
      <c r="E15" s="6"/>
      <c r="F15" s="6"/>
      <c r="G15" s="6"/>
      <c r="H15" s="9"/>
      <c r="I15" s="9"/>
      <c r="J15" s="10"/>
      <c r="K15" s="9"/>
      <c r="L15" s="7"/>
    </row>
    <row r="16" spans="1:12" x14ac:dyDescent="0.25">
      <c r="A16" s="6"/>
      <c r="B16" s="6"/>
      <c r="C16" s="6"/>
      <c r="D16" s="7"/>
      <c r="E16" s="6"/>
      <c r="F16" s="6"/>
      <c r="G16" s="6"/>
      <c r="H16" s="9"/>
      <c r="I16" s="9"/>
      <c r="J16" s="10"/>
      <c r="K16" s="9"/>
      <c r="L16" s="7"/>
    </row>
    <row r="17" spans="1:12" x14ac:dyDescent="0.25">
      <c r="A17" s="6"/>
      <c r="B17" s="6"/>
      <c r="C17" s="6"/>
      <c r="D17" s="7"/>
      <c r="E17" s="6"/>
      <c r="F17" s="6"/>
      <c r="G17" s="6"/>
      <c r="H17" s="9"/>
      <c r="I17" s="9"/>
      <c r="J17" s="10"/>
      <c r="K17" s="9"/>
      <c r="L17" s="7"/>
    </row>
    <row r="18" spans="1:12" x14ac:dyDescent="0.25">
      <c r="A18" s="6"/>
      <c r="B18" s="6"/>
      <c r="C18" s="6"/>
      <c r="D18" s="7"/>
      <c r="E18" s="6"/>
      <c r="F18" s="6"/>
      <c r="G18" s="6"/>
      <c r="H18" s="9"/>
      <c r="I18" s="9"/>
      <c r="J18" s="10"/>
      <c r="K18" s="9"/>
      <c r="L18" s="7"/>
    </row>
    <row r="19" spans="1:12" x14ac:dyDescent="0.25">
      <c r="A19" s="6"/>
      <c r="B19" s="6"/>
      <c r="C19" s="6"/>
      <c r="D19" s="7"/>
      <c r="E19" s="6"/>
      <c r="F19" s="6"/>
      <c r="G19" s="6"/>
      <c r="H19" s="9"/>
      <c r="I19" s="9"/>
      <c r="J19" s="10"/>
      <c r="K19" s="9"/>
      <c r="L19" s="7"/>
    </row>
    <row r="20" spans="1:12" x14ac:dyDescent="0.25">
      <c r="A20" s="6"/>
      <c r="B20" s="6"/>
      <c r="C20" s="6"/>
      <c r="D20" s="7"/>
      <c r="E20" s="6"/>
      <c r="F20" s="6"/>
      <c r="G20" s="6"/>
      <c r="H20" s="9"/>
      <c r="I20" s="9"/>
      <c r="J20" s="10"/>
      <c r="K20" s="9"/>
      <c r="L20" s="7"/>
    </row>
    <row r="21" spans="1:12" x14ac:dyDescent="0.25">
      <c r="A21" s="6"/>
      <c r="B21" s="6"/>
      <c r="C21" s="6"/>
      <c r="D21" s="7"/>
      <c r="E21" s="6"/>
      <c r="F21" s="6"/>
      <c r="G21" s="6"/>
      <c r="H21" s="9"/>
      <c r="I21" s="9"/>
      <c r="J21" s="10"/>
      <c r="K21" s="9"/>
      <c r="L21" s="7"/>
    </row>
    <row r="23" ht="20" customHeight="1" spans="1:12" x14ac:dyDescent="0.25">
      <c r="A23" s="12" t="s">
        <v>54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1" x14ac:dyDescent="0.25">
      <c r="A24" s="13" t="s">
        <v>55</v>
      </c>
      <c r="B24" s="13"/>
      <c r="C24" s="13"/>
      <c r="D24" s="13"/>
      <c r="E24" s="13"/>
      <c r="F24" s="13"/>
      <c r="G24" s="13"/>
      <c r="H24" s="13"/>
      <c r="I24" s="13"/>
      <c r="J24" s="13"/>
      <c r="K24" s="14">
        <f>SUMIF(A9:A21,"VE",K9:K21)</f>
      </c>
    </row>
    <row r="25" spans="1:11" x14ac:dyDescent="0.25">
      <c r="A25" s="13" t="s">
        <v>56</v>
      </c>
      <c r="B25" s="13"/>
      <c r="C25" s="13"/>
      <c r="D25" s="13"/>
      <c r="E25" s="13"/>
      <c r="F25" s="13"/>
      <c r="G25" s="13"/>
      <c r="H25" s="13"/>
      <c r="I25" s="13"/>
      <c r="J25" s="13"/>
      <c r="K25" s="14">
        <f>SUMIF(A9:A21,"ALT",K9:K21)</f>
      </c>
    </row>
    <row r="26" spans="1:11" x14ac:dyDescent="0.25">
      <c r="A26" s="15" t="s">
        <v>57</v>
      </c>
      <c r="B26" s="15"/>
      <c r="C26" s="15"/>
      <c r="D26" s="15"/>
      <c r="E26" s="15"/>
      <c r="F26" s="15"/>
      <c r="G26" s="15"/>
      <c r="H26" s="15"/>
      <c r="I26" s="15"/>
      <c r="J26" s="15"/>
      <c r="K26" s="16">
        <f>SUMIF(F9:F21,"Accepted (In Estimate)",K9:K21)</f>
      </c>
    </row>
    <row r="27" spans="1:11" x14ac:dyDescent="0.25">
      <c r="A27" s="15" t="s">
        <v>58</v>
      </c>
      <c r="B27" s="15"/>
      <c r="C27" s="15"/>
      <c r="D27" s="15"/>
      <c r="E27" s="15"/>
      <c r="F27" s="15"/>
      <c r="G27" s="15"/>
      <c r="H27" s="15"/>
      <c r="I27" s="15"/>
      <c r="J27" s="15"/>
      <c r="K27" s="16">
        <f>SUMIF(F9:F21,"Accepted (Pending)",K9:K21)</f>
      </c>
    </row>
    <row r="28" spans="1:11" x14ac:dyDescent="0.25">
      <c r="A28" s="15" t="s">
        <v>59</v>
      </c>
      <c r="B28" s="15"/>
      <c r="C28" s="15"/>
      <c r="D28" s="15"/>
      <c r="E28" s="15"/>
      <c r="F28" s="15"/>
      <c r="G28" s="15"/>
      <c r="H28" s="15"/>
      <c r="I28" s="15"/>
      <c r="J28" s="15"/>
      <c r="K28" s="16">
        <f>SUMIF(F9:F21,"Pending",K9:K21)</f>
      </c>
    </row>
    <row r="29" spans="1:11" x14ac:dyDescent="0.25">
      <c r="A29" s="15" t="s">
        <v>60</v>
      </c>
      <c r="B29" s="15"/>
      <c r="C29" s="15"/>
      <c r="D29" s="15"/>
      <c r="E29" s="15"/>
      <c r="F29" s="15"/>
      <c r="G29" s="15"/>
      <c r="H29" s="15"/>
      <c r="I29" s="15"/>
      <c r="J29" s="15"/>
      <c r="K29" s="16">
        <f>SUMIF(F9:F21,"Rejected",K9:K21)</f>
      </c>
    </row>
  </sheetData>
  <mergeCells count="11">
    <mergeCell ref="A2:L2"/>
    <mergeCell ref="B3:D3"/>
    <mergeCell ref="B4:D4"/>
    <mergeCell ref="A6:L6"/>
    <mergeCell ref="A23:L23"/>
    <mergeCell ref="A24:J24"/>
    <mergeCell ref="A25:J25"/>
    <mergeCell ref="A26:J26"/>
    <mergeCell ref="A27:J27"/>
    <mergeCell ref="A28:J28"/>
    <mergeCell ref="A29:J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" customWidth="1"/>
    <col min="2" max="2" width="120" customWidth="1"/>
  </cols>
  <sheetData>
    <row r="1" spans="1:2" x14ac:dyDescent="0.25">
      <c r="A1" t="s">
        <v>39</v>
      </c>
      <c r="B1" s="17" t="s">
        <v>61</v>
      </c>
    </row>
    <row r="2" spans="1:2" x14ac:dyDescent="0.25">
      <c r="A2" t="s">
        <v>39</v>
      </c>
      <c r="B2" s="18" t="s">
        <v>62</v>
      </c>
    </row>
    <row r="3" spans="1:2" x14ac:dyDescent="0.25">
      <c r="A3" t="s">
        <v>39</v>
      </c>
      <c r="B3" s="19" t="s">
        <v>39</v>
      </c>
    </row>
    <row r="4" spans="1:2" x14ac:dyDescent="0.25">
      <c r="A4" t="s">
        <v>39</v>
      </c>
      <c r="B4" s="20" t="s">
        <v>63</v>
      </c>
    </row>
    <row r="5" spans="1:2" x14ac:dyDescent="0.25">
      <c r="A5" t="s">
        <v>39</v>
      </c>
      <c r="B5" s="19" t="s">
        <v>64</v>
      </c>
    </row>
    <row r="6" spans="1:2" x14ac:dyDescent="0.25">
      <c r="A6" t="s">
        <v>39</v>
      </c>
      <c r="B6" s="19" t="s">
        <v>65</v>
      </c>
    </row>
    <row r="7" spans="1:2" x14ac:dyDescent="0.25">
      <c r="A7" t="s">
        <v>39</v>
      </c>
      <c r="B7" s="19" t="s">
        <v>39</v>
      </c>
    </row>
    <row r="8" spans="1:2" x14ac:dyDescent="0.25">
      <c r="A8" t="s">
        <v>39</v>
      </c>
      <c r="B8" s="20" t="s">
        <v>66</v>
      </c>
    </row>
    <row r="9" spans="1:2" x14ac:dyDescent="0.25">
      <c r="A9" t="s">
        <v>39</v>
      </c>
      <c r="B9" s="19" t="s">
        <v>67</v>
      </c>
    </row>
    <row r="10" spans="1:2" x14ac:dyDescent="0.25">
      <c r="A10" t="s">
        <v>39</v>
      </c>
      <c r="B10" s="19" t="s">
        <v>68</v>
      </c>
    </row>
    <row r="11" spans="1:2" x14ac:dyDescent="0.25">
      <c r="A11" t="s">
        <v>39</v>
      </c>
      <c r="B11" s="19" t="s">
        <v>69</v>
      </c>
    </row>
    <row r="12" spans="1:2" x14ac:dyDescent="0.25">
      <c r="A12" t="s">
        <v>39</v>
      </c>
      <c r="B12" s="19" t="s">
        <v>70</v>
      </c>
    </row>
    <row r="13" spans="1:2" x14ac:dyDescent="0.25">
      <c r="A13" t="s">
        <v>39</v>
      </c>
      <c r="B13" s="19" t="s">
        <v>39</v>
      </c>
    </row>
    <row r="14" spans="1:2" x14ac:dyDescent="0.25">
      <c r="A14" t="s">
        <v>39</v>
      </c>
      <c r="B14" s="20" t="s">
        <v>71</v>
      </c>
    </row>
    <row r="15" spans="1:2" x14ac:dyDescent="0.25">
      <c r="A15" t="s">
        <v>39</v>
      </c>
      <c r="B15" s="19" t="s">
        <v>72</v>
      </c>
    </row>
    <row r="16" spans="1:2" x14ac:dyDescent="0.25">
      <c r="A16" t="s">
        <v>39</v>
      </c>
      <c r="B16" s="19" t="s">
        <v>73</v>
      </c>
    </row>
    <row r="17" spans="1:2" x14ac:dyDescent="0.25">
      <c r="A17" t="s">
        <v>39</v>
      </c>
      <c r="B17" s="19" t="s">
        <v>74</v>
      </c>
    </row>
    <row r="18" spans="1:2" x14ac:dyDescent="0.25">
      <c r="A18" t="s">
        <v>39</v>
      </c>
      <c r="B18" s="19" t="s">
        <v>39</v>
      </c>
    </row>
    <row r="19" spans="1:2" x14ac:dyDescent="0.25">
      <c r="A19" t="s">
        <v>39</v>
      </c>
      <c r="B19" s="21" t="s">
        <v>75</v>
      </c>
    </row>
    <row r="20" spans="1:2" x14ac:dyDescent="0.25">
      <c r="A20" t="s">
        <v>39</v>
      </c>
      <c r="B20" s="19" t="s">
        <v>76</v>
      </c>
    </row>
    <row r="21" spans="1:2" x14ac:dyDescent="0.25">
      <c r="A21" t="s">
        <v>39</v>
      </c>
      <c r="B21" s="19" t="s">
        <v>39</v>
      </c>
    </row>
    <row r="22" spans="1:2" x14ac:dyDescent="0.25">
      <c r="A22" t="s">
        <v>39</v>
      </c>
      <c r="B22" s="20" t="s">
        <v>77</v>
      </c>
    </row>
    <row r="23" spans="1:2" x14ac:dyDescent="0.25">
      <c r="A23" t="s">
        <v>39</v>
      </c>
      <c r="B23" s="19" t="s">
        <v>78</v>
      </c>
    </row>
    <row r="24" spans="1:2" x14ac:dyDescent="0.25">
      <c r="A24" t="s">
        <v>39</v>
      </c>
      <c r="B24" s="19" t="s">
        <v>79</v>
      </c>
    </row>
    <row r="25" spans="1:2" x14ac:dyDescent="0.25">
      <c r="A25" t="s">
        <v>39</v>
      </c>
      <c r="B25" s="19" t="s">
        <v>80</v>
      </c>
    </row>
    <row r="26" spans="1:2" x14ac:dyDescent="0.25">
      <c r="A26" t="s">
        <v>39</v>
      </c>
      <c r="B26" s="19" t="s">
        <v>39</v>
      </c>
    </row>
    <row r="27" spans="1:2" x14ac:dyDescent="0.25">
      <c r="A27" t="s">
        <v>39</v>
      </c>
      <c r="B27" s="20" t="s">
        <v>81</v>
      </c>
    </row>
    <row r="28" spans="1:2" x14ac:dyDescent="0.25">
      <c r="A28" t="s">
        <v>39</v>
      </c>
      <c r="B28" s="1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VEs_ALTS</vt:lpstr>
      <vt:lpstr>READ ME — build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Takeoff Bridge</dc:creator>
  <dc:title/>
  <dc:subject/>
  <dc:description/>
  <cp:keywords/>
  <cp:category/>
  <cp:lastModifiedBy>Unknown</cp:lastModifiedBy>
  <dcterms:created xsi:type="dcterms:W3CDTF">2026-06-24T20:54:09Z</dcterms:created>
  <dcterms:modified xsi:type="dcterms:W3CDTF">2026-06-24T20:54:09Z</dcterms:modified>
</cp:coreProperties>
</file>